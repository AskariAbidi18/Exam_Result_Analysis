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zmi data\Result 2023\"/>
    </mc:Choice>
  </mc:AlternateContent>
  <xr:revisionPtr revIDLastSave="0" documentId="13_ncr:1_{49E1118F-711C-4934-84B3-C963F1477B3D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Sheet1 (3)" sheetId="6" r:id="rId1"/>
    <sheet name="Sheet1 (2)" sheetId="4" r:id="rId2"/>
    <sheet name="Sheet1" sheetId="1" r:id="rId3"/>
    <sheet name="Sheet7" sheetId="7" r:id="rId4"/>
    <sheet name="Sheet4" sheetId="10" r:id="rId5"/>
    <sheet name="Sheet2" sheetId="8" r:id="rId6"/>
  </sheets>
  <definedNames>
    <definedName name="_xlnm._FilterDatabase" localSheetId="3" hidden="1">Sheet7!$A$1:$T$147</definedName>
  </definedNames>
  <calcPr calcId="191029"/>
</workbook>
</file>

<file path=xl/calcChain.xml><?xml version="1.0" encoding="utf-8"?>
<calcChain xmlns="http://schemas.openxmlformats.org/spreadsheetml/2006/main">
  <c r="F27" i="8" l="1"/>
  <c r="H51" i="8"/>
  <c r="F29" i="8"/>
  <c r="S143" i="7"/>
  <c r="T143" i="7" s="1"/>
  <c r="S3" i="7"/>
  <c r="T3" i="7" s="1"/>
  <c r="S45" i="7"/>
  <c r="T45" i="7" s="1"/>
  <c r="S22" i="7"/>
  <c r="T22" i="7" s="1"/>
  <c r="S35" i="7"/>
  <c r="T35" i="7" s="1"/>
  <c r="S108" i="7"/>
  <c r="T108" i="7" s="1"/>
  <c r="S8" i="7"/>
  <c r="T8" i="7" s="1"/>
  <c r="S99" i="7"/>
  <c r="T99" i="7" s="1"/>
  <c r="S42" i="7"/>
  <c r="T42" i="7" s="1"/>
  <c r="S87" i="7"/>
  <c r="T87" i="7" s="1"/>
  <c r="S135" i="7"/>
  <c r="T135" i="7" s="1"/>
  <c r="S40" i="7"/>
  <c r="T40" i="7" s="1"/>
  <c r="S122" i="7"/>
  <c r="T122" i="7" s="1"/>
  <c r="S130" i="7"/>
  <c r="T130" i="7" s="1"/>
  <c r="S6" i="7"/>
  <c r="T6" i="7" s="1"/>
  <c r="S34" i="7"/>
  <c r="T34" i="7" s="1"/>
  <c r="S111" i="7"/>
  <c r="T111" i="7" s="1"/>
  <c r="S33" i="7"/>
  <c r="T33" i="7" s="1"/>
  <c r="S134" i="7"/>
  <c r="T134" i="7" s="1"/>
  <c r="S15" i="7"/>
  <c r="T15" i="7" s="1"/>
  <c r="S102" i="7"/>
  <c r="T102" i="7" s="1"/>
  <c r="S76" i="7"/>
  <c r="T76" i="7" s="1"/>
  <c r="S125" i="7"/>
  <c r="T125" i="7" s="1"/>
  <c r="S78" i="7"/>
  <c r="T78" i="7" s="1"/>
  <c r="S10" i="7"/>
  <c r="T10" i="7" s="1"/>
  <c r="S61" i="7"/>
  <c r="T61" i="7" s="1"/>
  <c r="S38" i="7"/>
  <c r="T38" i="7" s="1"/>
  <c r="S70" i="7"/>
  <c r="T70" i="7" s="1"/>
  <c r="S124" i="7"/>
  <c r="T124" i="7" s="1"/>
  <c r="S120" i="7"/>
  <c r="T120" i="7" s="1"/>
  <c r="S32" i="7"/>
  <c r="T32" i="7" s="1"/>
  <c r="S11" i="7"/>
  <c r="T11" i="7" s="1"/>
  <c r="S107" i="7"/>
  <c r="T107" i="7" s="1"/>
  <c r="S114" i="7"/>
  <c r="T114" i="7" s="1"/>
  <c r="S25" i="7"/>
  <c r="T25" i="7" s="1"/>
  <c r="S85" i="7"/>
  <c r="T85" i="7" s="1"/>
  <c r="S68" i="7"/>
  <c r="T68" i="7" s="1"/>
  <c r="S24" i="7"/>
  <c r="T24" i="7" s="1"/>
  <c r="S106" i="7"/>
  <c r="T106" i="7" s="1"/>
  <c r="S31" i="7"/>
  <c r="T31" i="7" s="1"/>
  <c r="S119" i="7"/>
  <c r="T119" i="7" s="1"/>
  <c r="S28" i="7"/>
  <c r="T28" i="7" s="1"/>
  <c r="S146" i="7"/>
  <c r="T146" i="7" s="1"/>
  <c r="S50" i="7"/>
  <c r="T50" i="7" s="1"/>
  <c r="S7" i="7"/>
  <c r="T7" i="7" s="1"/>
  <c r="S105" i="7"/>
  <c r="T105" i="7" s="1"/>
  <c r="S60" i="7"/>
  <c r="T60" i="7" s="1"/>
  <c r="S131" i="7"/>
  <c r="T131" i="7" s="1"/>
  <c r="S127" i="7"/>
  <c r="T127" i="7" s="1"/>
  <c r="S81" i="7"/>
  <c r="T81" i="7" s="1"/>
  <c r="S5" i="7"/>
  <c r="T5" i="7" s="1"/>
  <c r="S12" i="7"/>
  <c r="T12" i="7" s="1"/>
  <c r="S18" i="7"/>
  <c r="T18" i="7" s="1"/>
  <c r="S132" i="7"/>
  <c r="T132" i="7" s="1"/>
  <c r="S26" i="7"/>
  <c r="T26" i="7" s="1"/>
  <c r="S14" i="7"/>
  <c r="T14" i="7" s="1"/>
  <c r="S16" i="7"/>
  <c r="T16" i="7" s="1"/>
  <c r="S66" i="7"/>
  <c r="T66" i="7" s="1"/>
  <c r="S94" i="7"/>
  <c r="T94" i="7" s="1"/>
  <c r="S83" i="7"/>
  <c r="T83" i="7" s="1"/>
  <c r="S129" i="7"/>
  <c r="T129" i="7" s="1"/>
  <c r="S2" i="7"/>
  <c r="T2" i="7" s="1"/>
  <c r="S74" i="7"/>
  <c r="T74" i="7" s="1"/>
  <c r="S133" i="7"/>
  <c r="T133" i="7" s="1"/>
  <c r="S109" i="7"/>
  <c r="T109" i="7" s="1"/>
  <c r="S9" i="7"/>
  <c r="T9" i="7" s="1"/>
  <c r="S100" i="7"/>
  <c r="T100" i="7" s="1"/>
  <c r="S46" i="7"/>
  <c r="T46" i="7" s="1"/>
  <c r="S98" i="7"/>
  <c r="T98" i="7" s="1"/>
  <c r="S138" i="7"/>
  <c r="T138" i="7" s="1"/>
  <c r="S117" i="7"/>
  <c r="T117" i="7" s="1"/>
  <c r="S101" i="7"/>
  <c r="T101" i="7" s="1"/>
  <c r="S75" i="7"/>
  <c r="T75" i="7" s="1"/>
  <c r="S69" i="7"/>
  <c r="T69" i="7" s="1"/>
  <c r="S93" i="7"/>
  <c r="T93" i="7" s="1"/>
  <c r="S142" i="7"/>
  <c r="T142" i="7" s="1"/>
  <c r="S145" i="7"/>
  <c r="T145" i="7" s="1"/>
  <c r="S73" i="7"/>
  <c r="T73" i="7" s="1"/>
  <c r="S44" i="7"/>
  <c r="T44" i="7" s="1"/>
  <c r="S92" i="7"/>
  <c r="T92" i="7" s="1"/>
  <c r="S118" i="7"/>
  <c r="T118" i="7" s="1"/>
  <c r="S41" i="7"/>
  <c r="T41" i="7" s="1"/>
  <c r="S59" i="7"/>
  <c r="T59" i="7" s="1"/>
  <c r="S62" i="7"/>
  <c r="T62" i="7" s="1"/>
  <c r="S71" i="7"/>
  <c r="T71" i="7" s="1"/>
  <c r="S141" i="7"/>
  <c r="T141" i="7" s="1"/>
  <c r="S90" i="7"/>
  <c r="T90" i="7" s="1"/>
  <c r="S128" i="7"/>
  <c r="T128" i="7" s="1"/>
  <c r="S110" i="7"/>
  <c r="T110" i="7" s="1"/>
  <c r="S58" i="7"/>
  <c r="T58" i="7" s="1"/>
  <c r="S77" i="7"/>
  <c r="T77" i="7" s="1"/>
  <c r="S21" i="7"/>
  <c r="T21" i="7" s="1"/>
  <c r="S116" i="7"/>
  <c r="T116" i="7" s="1"/>
  <c r="S89" i="7"/>
  <c r="T89" i="7" s="1"/>
  <c r="S4" i="7"/>
  <c r="T4" i="7" s="1"/>
  <c r="S13" i="7"/>
  <c r="T13" i="7" s="1"/>
  <c r="S53" i="7"/>
  <c r="T53" i="7" s="1"/>
  <c r="S123" i="7"/>
  <c r="T123" i="7" s="1"/>
  <c r="S65" i="7"/>
  <c r="T65" i="7" s="1"/>
  <c r="S104" i="7"/>
  <c r="T104" i="7" s="1"/>
  <c r="S139" i="7"/>
  <c r="T139" i="7" s="1"/>
  <c r="S88" i="7"/>
  <c r="T88" i="7" s="1"/>
  <c r="S64" i="7"/>
  <c r="T64" i="7" s="1"/>
  <c r="S97" i="7"/>
  <c r="T97" i="7" s="1"/>
  <c r="S55" i="7"/>
  <c r="T55" i="7" s="1"/>
  <c r="S49" i="7"/>
  <c r="T49" i="7" s="1"/>
  <c r="S84" i="7"/>
  <c r="T84" i="7" s="1"/>
  <c r="S113" i="7"/>
  <c r="T113" i="7" s="1"/>
  <c r="S67" i="7"/>
  <c r="T67" i="7" s="1"/>
  <c r="S20" i="7"/>
  <c r="T20" i="7" s="1"/>
  <c r="S39" i="7"/>
  <c r="T39" i="7" s="1"/>
  <c r="S80" i="7"/>
  <c r="T80" i="7" s="1"/>
  <c r="S137" i="7"/>
  <c r="T137" i="7" s="1"/>
  <c r="S54" i="7"/>
  <c r="T54" i="7" s="1"/>
  <c r="S47" i="7"/>
  <c r="T47" i="7" s="1"/>
  <c r="S121" i="7"/>
  <c r="T121" i="7" s="1"/>
  <c r="S115" i="7"/>
  <c r="T115" i="7" s="1"/>
  <c r="S43" i="7"/>
  <c r="T43" i="7" s="1"/>
  <c r="S126" i="7"/>
  <c r="T126" i="7" s="1"/>
  <c r="S30" i="7"/>
  <c r="T30" i="7" s="1"/>
  <c r="S140" i="7"/>
  <c r="T140" i="7" s="1"/>
  <c r="S36" i="7"/>
  <c r="T36" i="7" s="1"/>
  <c r="S96" i="7"/>
  <c r="T96" i="7" s="1"/>
  <c r="S57" i="7"/>
  <c r="T57" i="7" s="1"/>
  <c r="S17" i="7"/>
  <c r="T17" i="7" s="1"/>
  <c r="S37" i="7"/>
  <c r="T37" i="7" s="1"/>
  <c r="S91" i="7"/>
  <c r="T91" i="7" s="1"/>
  <c r="S63" i="7"/>
  <c r="T63" i="7" s="1"/>
  <c r="S82" i="7"/>
  <c r="T82" i="7" s="1"/>
  <c r="S79" i="7"/>
  <c r="T79" i="7" s="1"/>
  <c r="S103" i="7"/>
  <c r="T103" i="7" s="1"/>
  <c r="S95" i="7"/>
  <c r="T95" i="7" s="1"/>
  <c r="S27" i="7"/>
  <c r="T27" i="7" s="1"/>
  <c r="S144" i="7"/>
  <c r="T144" i="7" s="1"/>
  <c r="S112" i="7"/>
  <c r="T112" i="7" s="1"/>
  <c r="S72" i="7"/>
  <c r="T72" i="7" s="1"/>
  <c r="S23" i="7"/>
  <c r="T23" i="7" s="1"/>
  <c r="S136" i="7"/>
  <c r="T136" i="7" s="1"/>
  <c r="S48" i="7"/>
  <c r="T48" i="7" s="1"/>
  <c r="S19" i="7"/>
  <c r="T19" i="7" s="1"/>
  <c r="S29" i="7"/>
  <c r="T29" i="7" s="1"/>
  <c r="S52" i="7"/>
  <c r="T52" i="7" s="1"/>
  <c r="S51" i="7"/>
  <c r="T51" i="7" s="1"/>
  <c r="S86" i="7"/>
  <c r="T86" i="7" s="1"/>
  <c r="S56" i="7"/>
  <c r="T56" i="7" s="1"/>
  <c r="Q304" i="6"/>
  <c r="P304" i="6"/>
  <c r="Q302" i="6"/>
  <c r="P302" i="6"/>
  <c r="Q300" i="6"/>
  <c r="P300" i="6"/>
  <c r="Q299" i="6" s="1"/>
  <c r="P299" i="6"/>
  <c r="Q297" i="6"/>
  <c r="P297" i="6"/>
  <c r="Q295" i="6"/>
  <c r="P295" i="6"/>
  <c r="Q293" i="6"/>
  <c r="P293" i="6"/>
  <c r="Q291" i="6"/>
  <c r="P291" i="6"/>
  <c r="Q289" i="6"/>
  <c r="P289" i="6"/>
  <c r="Q287" i="6"/>
  <c r="P287" i="6"/>
  <c r="Q285" i="6"/>
  <c r="P285" i="6"/>
  <c r="Q283" i="6"/>
  <c r="P283" i="6"/>
  <c r="Q281" i="6"/>
  <c r="P281" i="6"/>
  <c r="Q279" i="6"/>
  <c r="P279" i="6"/>
  <c r="Q278" i="6" s="1"/>
  <c r="P278" i="6"/>
  <c r="Q276" i="6"/>
  <c r="P276" i="6"/>
  <c r="Q274" i="6"/>
  <c r="P274" i="6"/>
  <c r="Q272" i="6"/>
  <c r="P272" i="6"/>
  <c r="Q270" i="6"/>
  <c r="P270" i="6"/>
  <c r="Q268" i="6"/>
  <c r="P268" i="6"/>
  <c r="Q266" i="6"/>
  <c r="P266" i="6"/>
  <c r="Q264" i="6"/>
  <c r="P264" i="6"/>
  <c r="Q262" i="6"/>
  <c r="P262" i="6"/>
  <c r="Q260" i="6"/>
  <c r="P260" i="6"/>
  <c r="Q258" i="6"/>
  <c r="P258" i="6"/>
  <c r="Q255" i="6"/>
  <c r="P255" i="6"/>
  <c r="Q253" i="6"/>
  <c r="P253" i="6"/>
  <c r="Q251" i="6"/>
  <c r="P251" i="6"/>
  <c r="Q249" i="6"/>
  <c r="P249" i="6"/>
  <c r="Q247" i="6"/>
  <c r="P247" i="6"/>
  <c r="Q245" i="6"/>
  <c r="P245" i="6"/>
  <c r="Q243" i="6"/>
  <c r="P243" i="6"/>
  <c r="Q241" i="6"/>
  <c r="P241" i="6"/>
  <c r="Q239" i="6"/>
  <c r="P239" i="6"/>
  <c r="Q237" i="6"/>
  <c r="P237" i="6"/>
  <c r="Q234" i="6"/>
  <c r="P234" i="6"/>
  <c r="Q232" i="6"/>
  <c r="P232" i="6"/>
  <c r="Q230" i="6"/>
  <c r="P230" i="6"/>
  <c r="Q228" i="6"/>
  <c r="P228" i="6"/>
  <c r="Q226" i="6"/>
  <c r="P226" i="6"/>
  <c r="Q224" i="6"/>
  <c r="P224" i="6"/>
  <c r="Q222" i="6"/>
  <c r="P222" i="6"/>
  <c r="Q220" i="6"/>
  <c r="P220" i="6"/>
  <c r="Q218" i="6"/>
  <c r="P218" i="6"/>
  <c r="Q216" i="6"/>
  <c r="P216" i="6"/>
  <c r="Q213" i="6"/>
  <c r="P213" i="6"/>
  <c r="Q211" i="6"/>
  <c r="P211" i="6"/>
  <c r="Q209" i="6"/>
  <c r="P209" i="6"/>
  <c r="Q207" i="6"/>
  <c r="P207" i="6"/>
  <c r="Q205" i="6"/>
  <c r="P205" i="6"/>
  <c r="Q203" i="6"/>
  <c r="P203" i="6"/>
  <c r="Q201" i="6"/>
  <c r="P201" i="6"/>
  <c r="Q199" i="6"/>
  <c r="P199" i="6"/>
  <c r="Q197" i="6"/>
  <c r="P197" i="6"/>
  <c r="Q195" i="6"/>
  <c r="P195" i="6"/>
  <c r="Q193" i="6"/>
  <c r="P193" i="6"/>
  <c r="Q191" i="6"/>
  <c r="P191" i="6"/>
  <c r="Q189" i="6"/>
  <c r="P189" i="6"/>
  <c r="Q187" i="6"/>
  <c r="P187" i="6"/>
  <c r="Q185" i="6"/>
  <c r="P185" i="6"/>
  <c r="Q183" i="6"/>
  <c r="P183" i="6"/>
  <c r="Q181" i="6"/>
  <c r="P181" i="6"/>
  <c r="Q179" i="6"/>
  <c r="P179" i="6"/>
  <c r="Q177" i="6"/>
  <c r="P177" i="6"/>
  <c r="Q175" i="6"/>
  <c r="P175" i="6"/>
  <c r="Q172" i="6"/>
  <c r="P172" i="6"/>
  <c r="Q170" i="6"/>
  <c r="P170" i="6"/>
  <c r="Q168" i="6"/>
  <c r="P168" i="6"/>
  <c r="Q166" i="6"/>
  <c r="P166" i="6"/>
  <c r="Q164" i="6"/>
  <c r="P164" i="6"/>
  <c r="Q162" i="6"/>
  <c r="P162" i="6"/>
  <c r="Q160" i="6"/>
  <c r="P160" i="6"/>
  <c r="Q158" i="6"/>
  <c r="P158" i="6"/>
  <c r="Q156" i="6"/>
  <c r="P156" i="6"/>
  <c r="Q154" i="6"/>
  <c r="P154" i="6"/>
  <c r="Q153" i="6" s="1"/>
  <c r="P153" i="6"/>
  <c r="Q151" i="6"/>
  <c r="P151" i="6"/>
  <c r="Q149" i="6"/>
  <c r="P149" i="6"/>
  <c r="Q147" i="6"/>
  <c r="P147" i="6"/>
  <c r="Q145" i="6"/>
  <c r="P145" i="6"/>
  <c r="Q143" i="6"/>
  <c r="P143" i="6"/>
  <c r="Q141" i="6"/>
  <c r="P141" i="6"/>
  <c r="Q139" i="6"/>
  <c r="P139" i="6"/>
  <c r="Q137" i="6"/>
  <c r="P137" i="6"/>
  <c r="Q135" i="6"/>
  <c r="P135" i="6"/>
  <c r="Q133" i="6"/>
  <c r="P133" i="6"/>
  <c r="Q130" i="6"/>
  <c r="P130" i="6"/>
  <c r="Q128" i="6"/>
  <c r="P128" i="6"/>
  <c r="Q126" i="6"/>
  <c r="P126" i="6"/>
  <c r="Q124" i="6"/>
  <c r="P124" i="6"/>
  <c r="Q122" i="6"/>
  <c r="P122" i="6"/>
  <c r="Q120" i="6"/>
  <c r="P120" i="6"/>
  <c r="Q118" i="6"/>
  <c r="P118" i="6"/>
  <c r="Q116" i="6"/>
  <c r="P116" i="6"/>
  <c r="Q114" i="6"/>
  <c r="P114" i="6"/>
  <c r="Q112" i="6"/>
  <c r="P112" i="6"/>
  <c r="Q109" i="6"/>
  <c r="P109" i="6"/>
  <c r="Q107" i="6"/>
  <c r="P107" i="6"/>
  <c r="Q105" i="6"/>
  <c r="P105" i="6"/>
  <c r="Q103" i="6"/>
  <c r="P103" i="6"/>
  <c r="Q101" i="6"/>
  <c r="P101" i="6"/>
  <c r="Q99" i="6"/>
  <c r="P99" i="6"/>
  <c r="Q97" i="6"/>
  <c r="P97" i="6"/>
  <c r="Q95" i="6"/>
  <c r="P95" i="6"/>
  <c r="Q93" i="6"/>
  <c r="P93" i="6"/>
  <c r="Q91" i="6"/>
  <c r="P91" i="6"/>
  <c r="Q88" i="6"/>
  <c r="P88" i="6"/>
  <c r="Q86" i="6"/>
  <c r="P86" i="6"/>
  <c r="Q84" i="6"/>
  <c r="P84" i="6"/>
  <c r="Q82" i="6"/>
  <c r="P82" i="6"/>
  <c r="Q80" i="6"/>
  <c r="P80" i="6"/>
  <c r="Q78" i="6"/>
  <c r="P78" i="6"/>
  <c r="Q76" i="6"/>
  <c r="P76" i="6"/>
  <c r="Q74" i="6"/>
  <c r="P74" i="6"/>
  <c r="Q72" i="6"/>
  <c r="P72" i="6"/>
  <c r="Q70" i="6"/>
  <c r="P70" i="6"/>
  <c r="Q67" i="6"/>
  <c r="P67" i="6"/>
  <c r="Q65" i="6"/>
  <c r="P65" i="6"/>
  <c r="Q63" i="6"/>
  <c r="P63" i="6"/>
  <c r="Q61" i="6"/>
  <c r="P61" i="6"/>
  <c r="Q59" i="6"/>
  <c r="P59" i="6"/>
  <c r="Q57" i="6"/>
  <c r="P57" i="6"/>
  <c r="Q55" i="6"/>
  <c r="P55" i="6"/>
  <c r="Q53" i="6"/>
  <c r="P53" i="6"/>
  <c r="Q51" i="6"/>
  <c r="P51" i="6"/>
  <c r="Q49" i="6"/>
  <c r="P49" i="6"/>
  <c r="Q46" i="6"/>
  <c r="P46" i="6"/>
  <c r="Q44" i="6"/>
  <c r="P44" i="6"/>
  <c r="Q42" i="6"/>
  <c r="P42" i="6"/>
  <c r="Q40" i="6"/>
  <c r="P40" i="6"/>
  <c r="Q38" i="6"/>
  <c r="P38" i="6"/>
  <c r="Q36" i="6"/>
  <c r="P36" i="6"/>
  <c r="Q34" i="6"/>
  <c r="P34" i="6"/>
  <c r="Q32" i="6"/>
  <c r="P32" i="6"/>
  <c r="Q30" i="6"/>
  <c r="P30" i="6"/>
  <c r="Q28" i="6"/>
  <c r="P28" i="6"/>
  <c r="Q25" i="6"/>
  <c r="P25" i="6"/>
  <c r="Q23" i="6"/>
  <c r="P23" i="6"/>
  <c r="Q21" i="6"/>
  <c r="P21" i="6"/>
  <c r="Q19" i="6"/>
  <c r="P19" i="6"/>
  <c r="Q17" i="6"/>
  <c r="P17" i="6"/>
  <c r="Q15" i="6"/>
  <c r="P15" i="6"/>
  <c r="Q13" i="6"/>
  <c r="P13" i="6"/>
  <c r="Q11" i="6"/>
  <c r="P11" i="6"/>
  <c r="Q9" i="6"/>
  <c r="P9" i="6"/>
  <c r="Q7" i="6"/>
  <c r="P7" i="6"/>
  <c r="Q4" i="6"/>
  <c r="P4" i="6"/>
  <c r="N304" i="6"/>
  <c r="M304" i="6"/>
  <c r="N302" i="6"/>
  <c r="M302" i="6"/>
  <c r="N300" i="6"/>
  <c r="M300" i="6"/>
  <c r="N299" i="6" s="1"/>
  <c r="M299" i="6"/>
  <c r="N297" i="6"/>
  <c r="M297" i="6"/>
  <c r="N295" i="6"/>
  <c r="M295" i="6"/>
  <c r="N293" i="6"/>
  <c r="M293" i="6"/>
  <c r="N291" i="6"/>
  <c r="M291" i="6"/>
  <c r="N289" i="6"/>
  <c r="M289" i="6"/>
  <c r="N287" i="6"/>
  <c r="M287" i="6"/>
  <c r="N285" i="6"/>
  <c r="M285" i="6"/>
  <c r="N283" i="6"/>
  <c r="M283" i="6"/>
  <c r="N281" i="6"/>
  <c r="M281" i="6"/>
  <c r="N279" i="6"/>
  <c r="M279" i="6"/>
  <c r="N276" i="6"/>
  <c r="M276" i="6"/>
  <c r="N274" i="6"/>
  <c r="M274" i="6"/>
  <c r="N272" i="6"/>
  <c r="M272" i="6"/>
  <c r="N270" i="6"/>
  <c r="M270" i="6"/>
  <c r="N268" i="6"/>
  <c r="M268" i="6"/>
  <c r="N266" i="6"/>
  <c r="M266" i="6"/>
  <c r="N264" i="6"/>
  <c r="M264" i="6"/>
  <c r="N262" i="6"/>
  <c r="M262" i="6"/>
  <c r="N260" i="6"/>
  <c r="M260" i="6"/>
  <c r="N258" i="6"/>
  <c r="M258" i="6"/>
  <c r="N257" i="6" s="1"/>
  <c r="M257" i="6"/>
  <c r="N255" i="6"/>
  <c r="M255" i="6"/>
  <c r="N253" i="6"/>
  <c r="M253" i="6"/>
  <c r="N251" i="6"/>
  <c r="M251" i="6"/>
  <c r="N249" i="6"/>
  <c r="M249" i="6"/>
  <c r="N247" i="6"/>
  <c r="M247" i="6"/>
  <c r="N245" i="6"/>
  <c r="M245" i="6"/>
  <c r="N243" i="6"/>
  <c r="M243" i="6"/>
  <c r="N241" i="6"/>
  <c r="M241" i="6"/>
  <c r="N239" i="6"/>
  <c r="M239" i="6"/>
  <c r="N237" i="6"/>
  <c r="M237" i="6"/>
  <c r="N234" i="6"/>
  <c r="M234" i="6"/>
  <c r="N232" i="6"/>
  <c r="M232" i="6"/>
  <c r="N230" i="6"/>
  <c r="M230" i="6"/>
  <c r="N228" i="6"/>
  <c r="M228" i="6"/>
  <c r="N226" i="6"/>
  <c r="M226" i="6"/>
  <c r="N224" i="6"/>
  <c r="M224" i="6"/>
  <c r="N222" i="6"/>
  <c r="M222" i="6"/>
  <c r="N220" i="6"/>
  <c r="M220" i="6"/>
  <c r="N218" i="6"/>
  <c r="M218" i="6"/>
  <c r="N216" i="6"/>
  <c r="M216" i="6"/>
  <c r="N213" i="6"/>
  <c r="M213" i="6"/>
  <c r="N211" i="6"/>
  <c r="M211" i="6"/>
  <c r="N209" i="6"/>
  <c r="M209" i="6"/>
  <c r="N207" i="6"/>
  <c r="M207" i="6"/>
  <c r="N205" i="6"/>
  <c r="M205" i="6"/>
  <c r="N203" i="6"/>
  <c r="M203" i="6"/>
  <c r="N201" i="6"/>
  <c r="M201" i="6"/>
  <c r="N199" i="6"/>
  <c r="M199" i="6"/>
  <c r="N197" i="6"/>
  <c r="M197" i="6"/>
  <c r="N195" i="6"/>
  <c r="M195" i="6"/>
  <c r="N193" i="6"/>
  <c r="M193" i="6"/>
  <c r="N191" i="6"/>
  <c r="M191" i="6"/>
  <c r="N189" i="6"/>
  <c r="M189" i="6"/>
  <c r="N187" i="6"/>
  <c r="M187" i="6"/>
  <c r="N185" i="6"/>
  <c r="M185" i="6"/>
  <c r="N183" i="6"/>
  <c r="M183" i="6"/>
  <c r="N181" i="6"/>
  <c r="M181" i="6"/>
  <c r="N179" i="6"/>
  <c r="M179" i="6"/>
  <c r="N177" i="6"/>
  <c r="M177" i="6"/>
  <c r="N175" i="6"/>
  <c r="M175" i="6"/>
  <c r="N172" i="6"/>
  <c r="M172" i="6"/>
  <c r="N170" i="6"/>
  <c r="M170" i="6"/>
  <c r="N168" i="6"/>
  <c r="M168" i="6"/>
  <c r="N166" i="6"/>
  <c r="M166" i="6"/>
  <c r="N164" i="6"/>
  <c r="M164" i="6"/>
  <c r="N162" i="6"/>
  <c r="M162" i="6"/>
  <c r="N160" i="6"/>
  <c r="M160" i="6"/>
  <c r="N158" i="6"/>
  <c r="M158" i="6"/>
  <c r="N156" i="6"/>
  <c r="M156" i="6"/>
  <c r="N154" i="6"/>
  <c r="M154" i="6"/>
  <c r="N153" i="6" s="1"/>
  <c r="M153" i="6"/>
  <c r="N151" i="6"/>
  <c r="M151" i="6"/>
  <c r="N149" i="6"/>
  <c r="M149" i="6"/>
  <c r="N147" i="6"/>
  <c r="M147" i="6"/>
  <c r="N145" i="6"/>
  <c r="M145" i="6"/>
  <c r="N143" i="6"/>
  <c r="M143" i="6"/>
  <c r="N141" i="6"/>
  <c r="M141" i="6"/>
  <c r="N139" i="6"/>
  <c r="M139" i="6"/>
  <c r="N137" i="6"/>
  <c r="M137" i="6"/>
  <c r="N135" i="6"/>
  <c r="M135" i="6"/>
  <c r="N133" i="6"/>
  <c r="M133" i="6"/>
  <c r="N130" i="6"/>
  <c r="M130" i="6"/>
  <c r="N128" i="6"/>
  <c r="M128" i="6"/>
  <c r="N126" i="6"/>
  <c r="M126" i="6"/>
  <c r="N124" i="6"/>
  <c r="M124" i="6"/>
  <c r="N122" i="6"/>
  <c r="M122" i="6"/>
  <c r="N120" i="6"/>
  <c r="M120" i="6"/>
  <c r="N118" i="6"/>
  <c r="M118" i="6"/>
  <c r="N116" i="6"/>
  <c r="M116" i="6"/>
  <c r="N114" i="6"/>
  <c r="M114" i="6"/>
  <c r="N112" i="6"/>
  <c r="M112" i="6"/>
  <c r="N109" i="6"/>
  <c r="M109" i="6"/>
  <c r="N107" i="6"/>
  <c r="M107" i="6"/>
  <c r="N105" i="6"/>
  <c r="M105" i="6"/>
  <c r="N103" i="6"/>
  <c r="M103" i="6"/>
  <c r="N101" i="6"/>
  <c r="M101" i="6"/>
  <c r="N99" i="6"/>
  <c r="M99" i="6"/>
  <c r="N97" i="6"/>
  <c r="M97" i="6"/>
  <c r="N95" i="6"/>
  <c r="M95" i="6"/>
  <c r="N93" i="6"/>
  <c r="M93" i="6"/>
  <c r="N91" i="6"/>
  <c r="M91" i="6"/>
  <c r="N90" i="6" s="1"/>
  <c r="M90" i="6"/>
  <c r="N88" i="6"/>
  <c r="M88" i="6"/>
  <c r="N86" i="6"/>
  <c r="M86" i="6"/>
  <c r="N84" i="6"/>
  <c r="M84" i="6"/>
  <c r="N82" i="6"/>
  <c r="M82" i="6"/>
  <c r="N80" i="6"/>
  <c r="M80" i="6"/>
  <c r="N78" i="6"/>
  <c r="M78" i="6"/>
  <c r="N76" i="6"/>
  <c r="M76" i="6"/>
  <c r="N74" i="6"/>
  <c r="M74" i="6"/>
  <c r="N72" i="6"/>
  <c r="M72" i="6"/>
  <c r="N70" i="6"/>
  <c r="M70" i="6"/>
  <c r="N67" i="6"/>
  <c r="M67" i="6"/>
  <c r="N65" i="6"/>
  <c r="M65" i="6"/>
  <c r="N63" i="6"/>
  <c r="M63" i="6"/>
  <c r="N61" i="6"/>
  <c r="M61" i="6"/>
  <c r="N59" i="6"/>
  <c r="M59" i="6"/>
  <c r="N57" i="6"/>
  <c r="M57" i="6"/>
  <c r="N55" i="6"/>
  <c r="M55" i="6"/>
  <c r="N53" i="6"/>
  <c r="M53" i="6"/>
  <c r="N51" i="6"/>
  <c r="M51" i="6"/>
  <c r="N49" i="6"/>
  <c r="M49" i="6"/>
  <c r="N48" i="6" s="1"/>
  <c r="M48" i="6"/>
  <c r="N46" i="6"/>
  <c r="M46" i="6"/>
  <c r="N44" i="6"/>
  <c r="M44" i="6"/>
  <c r="N42" i="6"/>
  <c r="M42" i="6"/>
  <c r="N40" i="6"/>
  <c r="M40" i="6"/>
  <c r="N38" i="6"/>
  <c r="M38" i="6"/>
  <c r="N36" i="6"/>
  <c r="M36" i="6"/>
  <c r="N34" i="6"/>
  <c r="M34" i="6"/>
  <c r="N32" i="6"/>
  <c r="M32" i="6"/>
  <c r="N30" i="6"/>
  <c r="M30" i="6"/>
  <c r="N28" i="6"/>
  <c r="M28" i="6"/>
  <c r="N25" i="6"/>
  <c r="M25" i="6"/>
  <c r="N23" i="6"/>
  <c r="M23" i="6"/>
  <c r="N21" i="6"/>
  <c r="M21" i="6"/>
  <c r="N19" i="6"/>
  <c r="M19" i="6"/>
  <c r="N17" i="6"/>
  <c r="M17" i="6"/>
  <c r="N15" i="6"/>
  <c r="M15" i="6"/>
  <c r="N13" i="6"/>
  <c r="M13" i="6"/>
  <c r="N11" i="6"/>
  <c r="M11" i="6"/>
  <c r="N9" i="6"/>
  <c r="M9" i="6"/>
  <c r="N7" i="6"/>
  <c r="M7" i="6"/>
  <c r="N4" i="6"/>
  <c r="M4" i="6"/>
  <c r="K304" i="6"/>
  <c r="J304" i="6"/>
  <c r="K302" i="6"/>
  <c r="J302" i="6"/>
  <c r="K300" i="6"/>
  <c r="J300" i="6"/>
  <c r="K299" i="6" s="1"/>
  <c r="J299" i="6"/>
  <c r="K297" i="6"/>
  <c r="J297" i="6"/>
  <c r="K295" i="6"/>
  <c r="J295" i="6"/>
  <c r="K293" i="6"/>
  <c r="J293" i="6"/>
  <c r="K291" i="6"/>
  <c r="J291" i="6"/>
  <c r="K289" i="6"/>
  <c r="J289" i="6"/>
  <c r="K287" i="6"/>
  <c r="J287" i="6"/>
  <c r="K285" i="6"/>
  <c r="J285" i="6"/>
  <c r="K283" i="6"/>
  <c r="J283" i="6"/>
  <c r="K281" i="6"/>
  <c r="J281" i="6"/>
  <c r="K279" i="6"/>
  <c r="J279" i="6"/>
  <c r="K278" i="6" s="1"/>
  <c r="J278" i="6"/>
  <c r="K276" i="6"/>
  <c r="J276" i="6"/>
  <c r="K274" i="6"/>
  <c r="J274" i="6"/>
  <c r="K272" i="6"/>
  <c r="J272" i="6"/>
  <c r="K270" i="6"/>
  <c r="J270" i="6"/>
  <c r="K268" i="6"/>
  <c r="J268" i="6"/>
  <c r="K266" i="6"/>
  <c r="J266" i="6"/>
  <c r="K264" i="6"/>
  <c r="J264" i="6"/>
  <c r="K262" i="6"/>
  <c r="J262" i="6"/>
  <c r="K260" i="6"/>
  <c r="J260" i="6"/>
  <c r="K258" i="6"/>
  <c r="J258" i="6"/>
  <c r="K257" i="6" s="1"/>
  <c r="J257" i="6"/>
  <c r="K255" i="6"/>
  <c r="J255" i="6"/>
  <c r="K253" i="6"/>
  <c r="J253" i="6"/>
  <c r="K251" i="6"/>
  <c r="J251" i="6"/>
  <c r="K249" i="6"/>
  <c r="J249" i="6"/>
  <c r="K247" i="6"/>
  <c r="J247" i="6"/>
  <c r="K245" i="6"/>
  <c r="J245" i="6"/>
  <c r="K243" i="6"/>
  <c r="J243" i="6"/>
  <c r="K241" i="6"/>
  <c r="J241" i="6"/>
  <c r="K239" i="6"/>
  <c r="J239" i="6"/>
  <c r="K237" i="6"/>
  <c r="J237" i="6"/>
  <c r="K234" i="6"/>
  <c r="J234" i="6"/>
  <c r="K232" i="6"/>
  <c r="J232" i="6"/>
  <c r="K230" i="6"/>
  <c r="J230" i="6"/>
  <c r="K228" i="6"/>
  <c r="J228" i="6"/>
  <c r="K226" i="6"/>
  <c r="J226" i="6"/>
  <c r="K224" i="6"/>
  <c r="J224" i="6"/>
  <c r="K222" i="6"/>
  <c r="J222" i="6"/>
  <c r="K220" i="6"/>
  <c r="J220" i="6"/>
  <c r="K218" i="6"/>
  <c r="J218" i="6"/>
  <c r="K216" i="6"/>
  <c r="J216" i="6"/>
  <c r="K215" i="6" s="1"/>
  <c r="J215" i="6"/>
  <c r="K213" i="6"/>
  <c r="J213" i="6"/>
  <c r="K211" i="6"/>
  <c r="J211" i="6"/>
  <c r="K209" i="6"/>
  <c r="J209" i="6"/>
  <c r="K207" i="6"/>
  <c r="J207" i="6"/>
  <c r="K205" i="6"/>
  <c r="J205" i="6"/>
  <c r="K203" i="6"/>
  <c r="J203" i="6"/>
  <c r="K201" i="6"/>
  <c r="J201" i="6"/>
  <c r="K199" i="6"/>
  <c r="J199" i="6"/>
  <c r="K197" i="6"/>
  <c r="J197" i="6"/>
  <c r="K195" i="6"/>
  <c r="J195" i="6"/>
  <c r="K193" i="6"/>
  <c r="J193" i="6"/>
  <c r="K191" i="6"/>
  <c r="J191" i="6"/>
  <c r="K189" i="6"/>
  <c r="J189" i="6"/>
  <c r="K187" i="6"/>
  <c r="J187" i="6"/>
  <c r="K185" i="6"/>
  <c r="J185" i="6"/>
  <c r="K183" i="6"/>
  <c r="J183" i="6"/>
  <c r="K181" i="6"/>
  <c r="J181" i="6"/>
  <c r="K179" i="6"/>
  <c r="J179" i="6"/>
  <c r="K177" i="6"/>
  <c r="J177" i="6"/>
  <c r="K175" i="6"/>
  <c r="J175" i="6"/>
  <c r="K172" i="6"/>
  <c r="J172" i="6"/>
  <c r="K170" i="6"/>
  <c r="J170" i="6"/>
  <c r="K168" i="6"/>
  <c r="J168" i="6"/>
  <c r="K166" i="6"/>
  <c r="J166" i="6"/>
  <c r="K164" i="6"/>
  <c r="J164" i="6"/>
  <c r="K162" i="6"/>
  <c r="J162" i="6"/>
  <c r="K160" i="6"/>
  <c r="J160" i="6"/>
  <c r="K158" i="6"/>
  <c r="J158" i="6"/>
  <c r="K156" i="6"/>
  <c r="J156" i="6"/>
  <c r="K154" i="6"/>
  <c r="J154" i="6"/>
  <c r="K153" i="6" s="1"/>
  <c r="J153" i="6"/>
  <c r="K151" i="6"/>
  <c r="J151" i="6"/>
  <c r="K149" i="6"/>
  <c r="J149" i="6"/>
  <c r="K147" i="6"/>
  <c r="J147" i="6"/>
  <c r="K145" i="6"/>
  <c r="J145" i="6"/>
  <c r="K143" i="6"/>
  <c r="J143" i="6"/>
  <c r="K141" i="6"/>
  <c r="J141" i="6"/>
  <c r="K139" i="6"/>
  <c r="J139" i="6"/>
  <c r="K137" i="6"/>
  <c r="J137" i="6"/>
  <c r="K135" i="6"/>
  <c r="J135" i="6"/>
  <c r="K133" i="6"/>
  <c r="J133" i="6"/>
  <c r="K132" i="6" s="1"/>
  <c r="J132" i="6"/>
  <c r="K130" i="6"/>
  <c r="J130" i="6"/>
  <c r="K128" i="6"/>
  <c r="J128" i="6"/>
  <c r="K126" i="6"/>
  <c r="J126" i="6"/>
  <c r="K124" i="6"/>
  <c r="J124" i="6"/>
  <c r="K122" i="6"/>
  <c r="J122" i="6"/>
  <c r="K120" i="6"/>
  <c r="J120" i="6"/>
  <c r="K118" i="6"/>
  <c r="J118" i="6"/>
  <c r="K116" i="6"/>
  <c r="J116" i="6"/>
  <c r="K114" i="6"/>
  <c r="J114" i="6"/>
  <c r="K112" i="6"/>
  <c r="J112" i="6"/>
  <c r="K111" i="6" s="1"/>
  <c r="J111" i="6"/>
  <c r="K109" i="6"/>
  <c r="J109" i="6"/>
  <c r="K107" i="6"/>
  <c r="J107" i="6"/>
  <c r="K105" i="6"/>
  <c r="J105" i="6"/>
  <c r="K103" i="6"/>
  <c r="J103" i="6"/>
  <c r="K101" i="6"/>
  <c r="J101" i="6"/>
  <c r="K99" i="6"/>
  <c r="J99" i="6"/>
  <c r="K97" i="6"/>
  <c r="J97" i="6"/>
  <c r="K95" i="6"/>
  <c r="J95" i="6"/>
  <c r="K93" i="6"/>
  <c r="J93" i="6"/>
  <c r="K91" i="6"/>
  <c r="J91" i="6"/>
  <c r="K90" i="6" s="1"/>
  <c r="J90" i="6"/>
  <c r="K88" i="6"/>
  <c r="J88" i="6"/>
  <c r="K86" i="6"/>
  <c r="J86" i="6"/>
  <c r="K84" i="6"/>
  <c r="J84" i="6"/>
  <c r="K82" i="6"/>
  <c r="J82" i="6"/>
  <c r="K80" i="6"/>
  <c r="J80" i="6"/>
  <c r="K78" i="6"/>
  <c r="J78" i="6"/>
  <c r="K76" i="6"/>
  <c r="J76" i="6"/>
  <c r="K74" i="6"/>
  <c r="J74" i="6"/>
  <c r="K72" i="6"/>
  <c r="J72" i="6"/>
  <c r="K70" i="6"/>
  <c r="J70" i="6"/>
  <c r="K67" i="6"/>
  <c r="J67" i="6"/>
  <c r="K65" i="6"/>
  <c r="J65" i="6"/>
  <c r="K63" i="6"/>
  <c r="J63" i="6"/>
  <c r="K61" i="6"/>
  <c r="J61" i="6"/>
  <c r="K59" i="6"/>
  <c r="J59" i="6"/>
  <c r="K57" i="6"/>
  <c r="J57" i="6"/>
  <c r="K55" i="6"/>
  <c r="J55" i="6"/>
  <c r="K53" i="6"/>
  <c r="J53" i="6"/>
  <c r="K51" i="6"/>
  <c r="J51" i="6"/>
  <c r="K49" i="6"/>
  <c r="J49" i="6"/>
  <c r="K48" i="6" s="1"/>
  <c r="J48" i="6"/>
  <c r="K46" i="6"/>
  <c r="J46" i="6"/>
  <c r="K44" i="6"/>
  <c r="J44" i="6"/>
  <c r="K42" i="6"/>
  <c r="J42" i="6"/>
  <c r="K40" i="6"/>
  <c r="J40" i="6"/>
  <c r="K38" i="6"/>
  <c r="J38" i="6"/>
  <c r="K36" i="6"/>
  <c r="J36" i="6"/>
  <c r="K34" i="6"/>
  <c r="J34" i="6"/>
  <c r="K32" i="6"/>
  <c r="J32" i="6"/>
  <c r="K30" i="6"/>
  <c r="J30" i="6"/>
  <c r="K28" i="6"/>
  <c r="J28" i="6"/>
  <c r="K25" i="6"/>
  <c r="J25" i="6"/>
  <c r="K23" i="6"/>
  <c r="J23" i="6"/>
  <c r="K21" i="6"/>
  <c r="J21" i="6"/>
  <c r="K19" i="6"/>
  <c r="J19" i="6"/>
  <c r="K17" i="6"/>
  <c r="J17" i="6"/>
  <c r="K15" i="6"/>
  <c r="J15" i="6"/>
  <c r="K13" i="6"/>
  <c r="J13" i="6"/>
  <c r="K11" i="6"/>
  <c r="J11" i="6"/>
  <c r="K9" i="6"/>
  <c r="J9" i="6"/>
  <c r="K7" i="6"/>
  <c r="J7" i="6"/>
  <c r="K4" i="6"/>
  <c r="J4" i="6"/>
  <c r="H304" i="6"/>
  <c r="G304" i="6"/>
  <c r="H302" i="6"/>
  <c r="G302" i="6"/>
  <c r="H300" i="6"/>
  <c r="G300" i="6"/>
  <c r="H299" i="6" s="1"/>
  <c r="G299" i="6"/>
  <c r="H297" i="6"/>
  <c r="G297" i="6"/>
  <c r="H295" i="6"/>
  <c r="G295" i="6"/>
  <c r="H293" i="6"/>
  <c r="G293" i="6"/>
  <c r="H291" i="6"/>
  <c r="G291" i="6"/>
  <c r="H289" i="6"/>
  <c r="G289" i="6"/>
  <c r="H287" i="6"/>
  <c r="G287" i="6"/>
  <c r="H285" i="6"/>
  <c r="G285" i="6"/>
  <c r="H283" i="6"/>
  <c r="G283" i="6"/>
  <c r="H281" i="6"/>
  <c r="G281" i="6"/>
  <c r="H279" i="6"/>
  <c r="G279" i="6"/>
  <c r="H278" i="6" s="1"/>
  <c r="G278" i="6"/>
  <c r="H276" i="6"/>
  <c r="G276" i="6"/>
  <c r="H274" i="6"/>
  <c r="G274" i="6"/>
  <c r="H272" i="6"/>
  <c r="G272" i="6"/>
  <c r="H270" i="6"/>
  <c r="G270" i="6"/>
  <c r="H268" i="6"/>
  <c r="G268" i="6"/>
  <c r="H266" i="6"/>
  <c r="G266" i="6"/>
  <c r="H264" i="6"/>
  <c r="G264" i="6"/>
  <c r="H262" i="6"/>
  <c r="G262" i="6"/>
  <c r="H260" i="6"/>
  <c r="G260" i="6"/>
  <c r="H258" i="6"/>
  <c r="G258" i="6"/>
  <c r="H257" i="6" s="1"/>
  <c r="G257" i="6"/>
  <c r="H255" i="6"/>
  <c r="G255" i="6"/>
  <c r="H253" i="6"/>
  <c r="G253" i="6"/>
  <c r="H251" i="6"/>
  <c r="G251" i="6"/>
  <c r="H249" i="6"/>
  <c r="G249" i="6"/>
  <c r="H247" i="6"/>
  <c r="G247" i="6"/>
  <c r="H245" i="6"/>
  <c r="G245" i="6"/>
  <c r="H243" i="6"/>
  <c r="G243" i="6"/>
  <c r="H241" i="6"/>
  <c r="G241" i="6"/>
  <c r="H239" i="6"/>
  <c r="G239" i="6"/>
  <c r="H237" i="6"/>
  <c r="G237" i="6"/>
  <c r="H234" i="6"/>
  <c r="G234" i="6"/>
  <c r="H232" i="6"/>
  <c r="G232" i="6"/>
  <c r="H230" i="6"/>
  <c r="G230" i="6"/>
  <c r="H228" i="6"/>
  <c r="G228" i="6"/>
  <c r="H226" i="6"/>
  <c r="G226" i="6"/>
  <c r="H224" i="6"/>
  <c r="G224" i="6"/>
  <c r="H222" i="6"/>
  <c r="G222" i="6"/>
  <c r="H220" i="6"/>
  <c r="G220" i="6"/>
  <c r="H218" i="6"/>
  <c r="G218" i="6"/>
  <c r="H216" i="6"/>
  <c r="G216" i="6"/>
  <c r="H213" i="6"/>
  <c r="G213" i="6"/>
  <c r="H211" i="6"/>
  <c r="G211" i="6"/>
  <c r="H209" i="6"/>
  <c r="G209" i="6"/>
  <c r="H207" i="6"/>
  <c r="G207" i="6"/>
  <c r="H205" i="6"/>
  <c r="G205" i="6"/>
  <c r="H203" i="6"/>
  <c r="G203" i="6"/>
  <c r="H201" i="6"/>
  <c r="G201" i="6"/>
  <c r="H199" i="6"/>
  <c r="G199" i="6"/>
  <c r="H197" i="6"/>
  <c r="G197" i="6"/>
  <c r="H195" i="6"/>
  <c r="G195" i="6"/>
  <c r="H193" i="6"/>
  <c r="G193" i="6"/>
  <c r="H191" i="6"/>
  <c r="G191" i="6"/>
  <c r="H189" i="6"/>
  <c r="G189" i="6"/>
  <c r="H187" i="6"/>
  <c r="G187" i="6"/>
  <c r="H185" i="6"/>
  <c r="G185" i="6"/>
  <c r="H183" i="6"/>
  <c r="G183" i="6"/>
  <c r="H181" i="6"/>
  <c r="G181" i="6"/>
  <c r="H179" i="6"/>
  <c r="G179" i="6"/>
  <c r="H177" i="6"/>
  <c r="G177" i="6"/>
  <c r="H175" i="6"/>
  <c r="G175" i="6"/>
  <c r="H172" i="6"/>
  <c r="G172" i="6"/>
  <c r="H170" i="6"/>
  <c r="G170" i="6"/>
  <c r="H168" i="6"/>
  <c r="G168" i="6"/>
  <c r="H166" i="6"/>
  <c r="G166" i="6"/>
  <c r="H164" i="6"/>
  <c r="G164" i="6"/>
  <c r="H162" i="6"/>
  <c r="G162" i="6"/>
  <c r="H160" i="6"/>
  <c r="G160" i="6"/>
  <c r="H158" i="6"/>
  <c r="G158" i="6"/>
  <c r="H156" i="6"/>
  <c r="G156" i="6"/>
  <c r="H154" i="6"/>
  <c r="G154" i="6"/>
  <c r="H151" i="6"/>
  <c r="G151" i="6"/>
  <c r="H149" i="6"/>
  <c r="G149" i="6"/>
  <c r="H147" i="6"/>
  <c r="G147" i="6"/>
  <c r="H145" i="6"/>
  <c r="G145" i="6"/>
  <c r="H143" i="6"/>
  <c r="G143" i="6"/>
  <c r="H141" i="6"/>
  <c r="G141" i="6"/>
  <c r="H139" i="6"/>
  <c r="G139" i="6"/>
  <c r="H137" i="6"/>
  <c r="G137" i="6"/>
  <c r="H135" i="6"/>
  <c r="G135" i="6"/>
  <c r="H133" i="6"/>
  <c r="G133" i="6"/>
  <c r="H132" i="6" s="1"/>
  <c r="G132" i="6"/>
  <c r="H130" i="6"/>
  <c r="G130" i="6"/>
  <c r="H128" i="6"/>
  <c r="G128" i="6"/>
  <c r="H126" i="6"/>
  <c r="G126" i="6"/>
  <c r="H124" i="6"/>
  <c r="G124" i="6"/>
  <c r="H122" i="6"/>
  <c r="G122" i="6"/>
  <c r="H120" i="6"/>
  <c r="G120" i="6"/>
  <c r="H118" i="6"/>
  <c r="G118" i="6"/>
  <c r="H116" i="6"/>
  <c r="G116" i="6"/>
  <c r="H114" i="6"/>
  <c r="G114" i="6"/>
  <c r="H112" i="6"/>
  <c r="G112" i="6"/>
  <c r="H111" i="6" s="1"/>
  <c r="G111" i="6"/>
  <c r="H109" i="6"/>
  <c r="G109" i="6"/>
  <c r="H107" i="6"/>
  <c r="G107" i="6"/>
  <c r="H105" i="6"/>
  <c r="G105" i="6"/>
  <c r="H103" i="6"/>
  <c r="G103" i="6"/>
  <c r="H101" i="6"/>
  <c r="G101" i="6"/>
  <c r="H99" i="6"/>
  <c r="G99" i="6"/>
  <c r="H97" i="6"/>
  <c r="G97" i="6"/>
  <c r="H95" i="6"/>
  <c r="G95" i="6"/>
  <c r="H93" i="6"/>
  <c r="G93" i="6"/>
  <c r="H91" i="6"/>
  <c r="G91" i="6"/>
  <c r="H88" i="6"/>
  <c r="G88" i="6"/>
  <c r="H86" i="6"/>
  <c r="G86" i="6"/>
  <c r="H84" i="6"/>
  <c r="G84" i="6"/>
  <c r="H82" i="6"/>
  <c r="G82" i="6"/>
  <c r="H80" i="6"/>
  <c r="G80" i="6"/>
  <c r="H78" i="6"/>
  <c r="G78" i="6"/>
  <c r="H76" i="6"/>
  <c r="G76" i="6"/>
  <c r="H74" i="6"/>
  <c r="G74" i="6"/>
  <c r="H72" i="6"/>
  <c r="G72" i="6"/>
  <c r="H70" i="6"/>
  <c r="G70" i="6"/>
  <c r="H67" i="6"/>
  <c r="G67" i="6"/>
  <c r="H65" i="6"/>
  <c r="G65" i="6"/>
  <c r="H63" i="6"/>
  <c r="G63" i="6"/>
  <c r="H61" i="6"/>
  <c r="G61" i="6"/>
  <c r="H59" i="6"/>
  <c r="G59" i="6"/>
  <c r="H57" i="6"/>
  <c r="G57" i="6"/>
  <c r="H55" i="6"/>
  <c r="G55" i="6"/>
  <c r="H53" i="6"/>
  <c r="G53" i="6"/>
  <c r="H51" i="6"/>
  <c r="G51" i="6"/>
  <c r="H49" i="6"/>
  <c r="G49" i="6"/>
  <c r="H46" i="6"/>
  <c r="G46" i="6"/>
  <c r="H44" i="6"/>
  <c r="G44" i="6"/>
  <c r="H42" i="6"/>
  <c r="G42" i="6"/>
  <c r="H40" i="6"/>
  <c r="G40" i="6"/>
  <c r="H38" i="6"/>
  <c r="G38" i="6"/>
  <c r="H36" i="6"/>
  <c r="G36" i="6"/>
  <c r="H34" i="6"/>
  <c r="G34" i="6"/>
  <c r="H32" i="6"/>
  <c r="G32" i="6"/>
  <c r="H30" i="6"/>
  <c r="G30" i="6"/>
  <c r="H28" i="6"/>
  <c r="G28" i="6"/>
  <c r="H25" i="6"/>
  <c r="G25" i="6"/>
  <c r="H23" i="6"/>
  <c r="G23" i="6"/>
  <c r="H21" i="6"/>
  <c r="G21" i="6"/>
  <c r="H19" i="6"/>
  <c r="G19" i="6"/>
  <c r="H17" i="6"/>
  <c r="G17" i="6"/>
  <c r="H15" i="6"/>
  <c r="G15" i="6"/>
  <c r="H13" i="6"/>
  <c r="G13" i="6"/>
  <c r="H11" i="6"/>
  <c r="G11" i="6"/>
  <c r="H9" i="6"/>
  <c r="G9" i="6"/>
  <c r="H7" i="6"/>
  <c r="G7" i="6"/>
  <c r="H4" i="6"/>
  <c r="G4" i="6"/>
  <c r="E304" i="6"/>
  <c r="D304" i="6"/>
  <c r="E302" i="6"/>
  <c r="D302" i="6"/>
  <c r="E300" i="6"/>
  <c r="D300" i="6"/>
  <c r="E299" i="6" s="1"/>
  <c r="D299" i="6"/>
  <c r="E297" i="6"/>
  <c r="D297" i="6"/>
  <c r="E295" i="6"/>
  <c r="D295" i="6"/>
  <c r="E293" i="6"/>
  <c r="D293" i="6"/>
  <c r="E291" i="6"/>
  <c r="D291" i="6"/>
  <c r="E289" i="6"/>
  <c r="D289" i="6"/>
  <c r="E287" i="6"/>
  <c r="D287" i="6"/>
  <c r="E285" i="6"/>
  <c r="D285" i="6"/>
  <c r="E283" i="6"/>
  <c r="D283" i="6"/>
  <c r="E281" i="6"/>
  <c r="D281" i="6"/>
  <c r="E279" i="6"/>
  <c r="D279" i="6"/>
  <c r="E276" i="6"/>
  <c r="D276" i="6"/>
  <c r="E274" i="6"/>
  <c r="D274" i="6"/>
  <c r="E272" i="6"/>
  <c r="D272" i="6"/>
  <c r="E270" i="6"/>
  <c r="D270" i="6"/>
  <c r="E268" i="6"/>
  <c r="D268" i="6"/>
  <c r="E266" i="6"/>
  <c r="D266" i="6"/>
  <c r="E264" i="6"/>
  <c r="D264" i="6"/>
  <c r="E262" i="6"/>
  <c r="D262" i="6"/>
  <c r="E260" i="6"/>
  <c r="D260" i="6"/>
  <c r="E258" i="6"/>
  <c r="D258" i="6"/>
  <c r="E257" i="6" s="1"/>
  <c r="D257" i="6"/>
  <c r="E255" i="6"/>
  <c r="D255" i="6"/>
  <c r="E253" i="6"/>
  <c r="D253" i="6"/>
  <c r="E251" i="6"/>
  <c r="D251" i="6"/>
  <c r="E249" i="6"/>
  <c r="D249" i="6"/>
  <c r="E247" i="6"/>
  <c r="D247" i="6"/>
  <c r="E245" i="6"/>
  <c r="D245" i="6"/>
  <c r="E243" i="6"/>
  <c r="D243" i="6"/>
  <c r="E241" i="6"/>
  <c r="D241" i="6"/>
  <c r="E239" i="6"/>
  <c r="D239" i="6"/>
  <c r="E237" i="6"/>
  <c r="D237" i="6"/>
  <c r="E236" i="6" s="1"/>
  <c r="D236" i="6"/>
  <c r="E234" i="6"/>
  <c r="D234" i="6"/>
  <c r="E232" i="6"/>
  <c r="D232" i="6"/>
  <c r="E230" i="6"/>
  <c r="D230" i="6"/>
  <c r="E228" i="6"/>
  <c r="D228" i="6"/>
  <c r="E226" i="6"/>
  <c r="D226" i="6"/>
  <c r="E224" i="6"/>
  <c r="D224" i="6"/>
  <c r="E222" i="6"/>
  <c r="D222" i="6"/>
  <c r="E220" i="6"/>
  <c r="D220" i="6"/>
  <c r="E218" i="6"/>
  <c r="D218" i="6"/>
  <c r="E216" i="6"/>
  <c r="D216" i="6"/>
  <c r="E213" i="6"/>
  <c r="D213" i="6"/>
  <c r="E211" i="6"/>
  <c r="D211" i="6"/>
  <c r="E209" i="6"/>
  <c r="D209" i="6"/>
  <c r="E207" i="6"/>
  <c r="D207" i="6"/>
  <c r="E205" i="6"/>
  <c r="D205" i="6"/>
  <c r="E203" i="6"/>
  <c r="D203" i="6"/>
  <c r="E201" i="6"/>
  <c r="D201" i="6"/>
  <c r="E199" i="6"/>
  <c r="D199" i="6"/>
  <c r="E197" i="6"/>
  <c r="D197" i="6"/>
  <c r="E195" i="6"/>
  <c r="D195" i="6"/>
  <c r="E193" i="6"/>
  <c r="D193" i="6"/>
  <c r="E191" i="6"/>
  <c r="D191" i="6"/>
  <c r="E189" i="6"/>
  <c r="D189" i="6"/>
  <c r="E187" i="6"/>
  <c r="D187" i="6"/>
  <c r="E185" i="6"/>
  <c r="D185" i="6"/>
  <c r="E183" i="6"/>
  <c r="D183" i="6"/>
  <c r="E181" i="6"/>
  <c r="D181" i="6"/>
  <c r="E179" i="6"/>
  <c r="D179" i="6"/>
  <c r="E177" i="6"/>
  <c r="D177" i="6"/>
  <c r="E175" i="6"/>
  <c r="D175" i="6"/>
  <c r="E172" i="6"/>
  <c r="D172" i="6"/>
  <c r="E170" i="6"/>
  <c r="D170" i="6"/>
  <c r="E168" i="6"/>
  <c r="D168" i="6"/>
  <c r="E166" i="6"/>
  <c r="D166" i="6"/>
  <c r="E164" i="6"/>
  <c r="D164" i="6"/>
  <c r="E162" i="6"/>
  <c r="D162" i="6"/>
  <c r="E160" i="6"/>
  <c r="D160" i="6"/>
  <c r="E158" i="6"/>
  <c r="D158" i="6"/>
  <c r="E156" i="6"/>
  <c r="D156" i="6"/>
  <c r="E154" i="6"/>
  <c r="D154" i="6"/>
  <c r="E153" i="6" s="1"/>
  <c r="D153" i="6"/>
  <c r="E151" i="6"/>
  <c r="D151" i="6"/>
  <c r="E149" i="6"/>
  <c r="D149" i="6"/>
  <c r="E147" i="6"/>
  <c r="D147" i="6"/>
  <c r="E145" i="6"/>
  <c r="D145" i="6"/>
  <c r="E143" i="6"/>
  <c r="D143" i="6"/>
  <c r="E141" i="6"/>
  <c r="D141" i="6"/>
  <c r="E139" i="6"/>
  <c r="D139" i="6"/>
  <c r="E137" i="6"/>
  <c r="D137" i="6"/>
  <c r="E135" i="6"/>
  <c r="D135" i="6"/>
  <c r="E133" i="6"/>
  <c r="D133" i="6"/>
  <c r="E130" i="6"/>
  <c r="D130" i="6"/>
  <c r="E128" i="6"/>
  <c r="D128" i="6"/>
  <c r="E126" i="6"/>
  <c r="D126" i="6"/>
  <c r="E124" i="6"/>
  <c r="D124" i="6"/>
  <c r="E122" i="6"/>
  <c r="D122" i="6"/>
  <c r="E120" i="6"/>
  <c r="D120" i="6"/>
  <c r="E118" i="6"/>
  <c r="D118" i="6"/>
  <c r="E116" i="6"/>
  <c r="D116" i="6"/>
  <c r="E114" i="6"/>
  <c r="D114" i="6"/>
  <c r="E112" i="6"/>
  <c r="D112" i="6"/>
  <c r="E111" i="6" s="1"/>
  <c r="D111" i="6"/>
  <c r="E109" i="6"/>
  <c r="D109" i="6"/>
  <c r="E107" i="6"/>
  <c r="D107" i="6"/>
  <c r="E105" i="6"/>
  <c r="D105" i="6"/>
  <c r="E103" i="6"/>
  <c r="D103" i="6"/>
  <c r="E101" i="6"/>
  <c r="D101" i="6"/>
  <c r="E99" i="6"/>
  <c r="D99" i="6"/>
  <c r="E97" i="6"/>
  <c r="D97" i="6"/>
  <c r="E95" i="6"/>
  <c r="D95" i="6"/>
  <c r="E93" i="6"/>
  <c r="D93" i="6"/>
  <c r="E91" i="6"/>
  <c r="D91" i="6"/>
  <c r="E90" i="6" s="1"/>
  <c r="D90" i="6"/>
  <c r="E88" i="6"/>
  <c r="D88" i="6"/>
  <c r="E86" i="6"/>
  <c r="D86" i="6"/>
  <c r="E84" i="6"/>
  <c r="D84" i="6"/>
  <c r="E82" i="6"/>
  <c r="D82" i="6"/>
  <c r="E80" i="6"/>
  <c r="D80" i="6"/>
  <c r="E78" i="6"/>
  <c r="D78" i="6"/>
  <c r="E76" i="6"/>
  <c r="D76" i="6"/>
  <c r="E74" i="6"/>
  <c r="D74" i="6"/>
  <c r="E72" i="6"/>
  <c r="D72" i="6"/>
  <c r="E70" i="6"/>
  <c r="D70" i="6"/>
  <c r="E69" i="6" s="1"/>
  <c r="D69" i="6"/>
  <c r="E67" i="6"/>
  <c r="D67" i="6"/>
  <c r="E65" i="6"/>
  <c r="D65" i="6"/>
  <c r="E63" i="6"/>
  <c r="D63" i="6"/>
  <c r="E61" i="6"/>
  <c r="D61" i="6"/>
  <c r="E59" i="6"/>
  <c r="D59" i="6"/>
  <c r="E57" i="6"/>
  <c r="D57" i="6"/>
  <c r="E55" i="6"/>
  <c r="D55" i="6"/>
  <c r="E53" i="6"/>
  <c r="D53" i="6"/>
  <c r="E51" i="6"/>
  <c r="D51" i="6"/>
  <c r="E49" i="6"/>
  <c r="D49" i="6"/>
  <c r="E48" i="6" s="1"/>
  <c r="D48" i="6"/>
  <c r="E46" i="6"/>
  <c r="D46" i="6"/>
  <c r="E44" i="6"/>
  <c r="D44" i="6"/>
  <c r="E42" i="6"/>
  <c r="D42" i="6"/>
  <c r="E40" i="6"/>
  <c r="D40" i="6"/>
  <c r="E38" i="6"/>
  <c r="D38" i="6"/>
  <c r="E36" i="6"/>
  <c r="D36" i="6"/>
  <c r="E34" i="6"/>
  <c r="D34" i="6"/>
  <c r="E32" i="6"/>
  <c r="D32" i="6"/>
  <c r="E30" i="6"/>
  <c r="D30" i="6"/>
  <c r="E28" i="6"/>
  <c r="D28" i="6"/>
  <c r="E27" i="6" s="1"/>
  <c r="D27" i="6"/>
  <c r="E25" i="6"/>
  <c r="D25" i="6"/>
  <c r="E23" i="6"/>
  <c r="D23" i="6"/>
  <c r="E21" i="6"/>
  <c r="D21" i="6"/>
  <c r="E19" i="6"/>
  <c r="D19" i="6"/>
  <c r="E17" i="6"/>
  <c r="D17" i="6"/>
  <c r="E15" i="6"/>
  <c r="D15" i="6"/>
  <c r="E13" i="6"/>
  <c r="D13" i="6"/>
  <c r="E11" i="6"/>
  <c r="D11" i="6"/>
  <c r="E9" i="6"/>
  <c r="D9" i="6"/>
  <c r="E7" i="6"/>
  <c r="D7" i="6"/>
  <c r="E4" i="6"/>
  <c r="D4" i="6"/>
  <c r="Q2" i="6"/>
  <c r="P2" i="6"/>
  <c r="N2" i="6"/>
  <c r="M2" i="6"/>
  <c r="K2" i="6"/>
  <c r="J2" i="6"/>
  <c r="H2" i="6"/>
  <c r="G2" i="6"/>
  <c r="E2" i="6"/>
  <c r="D2" i="6"/>
  <c r="T147" i="7" l="1"/>
</calcChain>
</file>

<file path=xl/sharedStrings.xml><?xml version="1.0" encoding="utf-8"?>
<sst xmlns="http://schemas.openxmlformats.org/spreadsheetml/2006/main" count="2920" uniqueCount="570">
  <si>
    <t>_x000C_</t>
  </si>
  <si>
    <t>DATE:- 12/05/2023    C.B.S.E. - SENIOR SCHOOL CERTIFICATE EXAMINATION (MAIN)-2023      REGION: PRAYAGRAJ         PAGE:-       1</t>
  </si>
  <si>
    <t xml:space="preserve">                                                ***** (SCHOOL / ROLL NO WISE GAZETTE) *****</t>
  </si>
  <si>
    <t>------------------------------------------------------------------------------------------------------------------------------------------------------</t>
  </si>
  <si>
    <t>ROLL    F S NAME OF CANDIDATE                                   --------------------SUBJECTS------------------  INT-SB-GRD   RES                COMP</t>
  </si>
  <si>
    <t>NO      L X                                                     SUB CD  SUB CD  SUB CD  SUB CD  SUB CD  SUB CD  GR1 GR2 GR3                     SUB</t>
  </si>
  <si>
    <t xml:space="preserve">                                                                MKS GR  MKS GR  MKS GR  MKS GR  MKS GR  MKS GR </t>
  </si>
  <si>
    <t xml:space="preserve">SCHOOL : - 70361   J B ACADEMY VISHNUPURI AYODHYA UP               </t>
  </si>
  <si>
    <t xml:space="preserve">23605890   M AADITYA SRIVASTAVA                                  301     042     043     041     048              A1 A1 A2    PASS                      </t>
  </si>
  <si>
    <t xml:space="preserve">                                                                 091  A1 092  A1 087  A2 073  B1 095  A1        </t>
  </si>
  <si>
    <t xml:space="preserve">23605891   M ABHISHEK TIWARI                                     301     042     043     041     034              A2 A1 A2    PASS                      </t>
  </si>
  <si>
    <t xml:space="preserve">                                                                 094  A1 075  B1 068  B2 067  B1 098  A1        </t>
  </si>
  <si>
    <t xml:space="preserve">23605892   F ADITI SINGH                                         301     042     043     044     037              A2 A2 A1    PASS                      </t>
  </si>
  <si>
    <t xml:space="preserve">                                                                 088  A2 077  A2 092  A1 091  A1 094  A2        </t>
  </si>
  <si>
    <t xml:space="preserve">23605893   F ADITI TRIPATHI                                      301     042     043     041     048              A1 A1 A1    PASS                      </t>
  </si>
  <si>
    <t xml:space="preserve">                                                                 087  A2 094  A1 088  A2 074  B1 099  A1        </t>
  </si>
  <si>
    <t xml:space="preserve">23605894   M ADITYA KAUSHAL                                      301     042     043     041     030              A2 A1 A2    PASS                      </t>
  </si>
  <si>
    <t xml:space="preserve">                                                                 094  A1 088  A1 093  A1 094  A1 092  A1        </t>
  </si>
  <si>
    <t xml:space="preserve">23605895   M ADITYA RAJ ARORA                                    301     042     043     041     083              A1 A2 A1    PASS                      </t>
  </si>
  <si>
    <t xml:space="preserve">                                                                 095  A1 091  A1 093  A1 095  A1 097  A1        </t>
  </si>
  <si>
    <t xml:space="preserve">23605896   M ADITYA SINGH                                        301     042     043     044     302              A2 B1 A2    PASS                      </t>
  </si>
  <si>
    <t xml:space="preserve">                                                                 081  B1 089  A1 085  A2 094  A1 094  A1        </t>
  </si>
  <si>
    <t xml:space="preserve">23605897   M AKHIL YADAV                                         301     042     043     041     034              A1 A1 A2    COMP               041    </t>
  </si>
  <si>
    <t xml:space="preserve">                                                                 094  A1 068  B2 052  D2 027  E  084  C2        </t>
  </si>
  <si>
    <t xml:space="preserve">23605898   F AKSHITA DUBEY                                       301     042     043     044     037              A2 A2 A2    PASS                      </t>
  </si>
  <si>
    <t xml:space="preserve">                                                                 094  A1 095  A1 095  A1 086  A2 096  A1        </t>
  </si>
  <si>
    <t xml:space="preserve">23605899   M AMAN MISHRA                                         301     042     043     041     036              A1 A1 A2    PASS                      </t>
  </si>
  <si>
    <t xml:space="preserve">                                                                 093  A1 091  A1 077  B1 065  B2 098  A1        </t>
  </si>
  <si>
    <t xml:space="preserve">23605900   M AMBRISH PRATAP YADAV                                301     042     043     041     036              A2 A1 A2    PASS                      </t>
  </si>
  <si>
    <t xml:space="preserve">                                                                 077  B2 071  B1 060  C2 066  B2 093  B1        </t>
  </si>
  <si>
    <t xml:space="preserve">23605901   M ANADI PRAKHAR SINGH                                 301     042     043     041     083              A1 B1 A2    COMP               041    </t>
  </si>
  <si>
    <t xml:space="preserve">                                                                 087  A2 062  C1 053  D1 029  E  060  D1        </t>
  </si>
  <si>
    <t xml:space="preserve">23605902   F ANANYA DWIVEDI                                      301     042     043     044     049              A1 A2 A1    PASS                      </t>
  </si>
  <si>
    <t xml:space="preserve">                                                                 097  A1 077  A2 095  A1 095  A1 098  A1        </t>
  </si>
  <si>
    <t xml:space="preserve">23605903   F ARCHITA SINGH                                       301     042     043     044     302              A1 A1 A2    PASS                      </t>
  </si>
  <si>
    <t xml:space="preserve">                                                                 085  B1 071  B1 067  B2 093  A1 081  B1        </t>
  </si>
  <si>
    <t xml:space="preserve">23605904   M ARNAV YADAV                                         301     042     043     041     048              A1 A1 A2    PASS                      </t>
  </si>
  <si>
    <t xml:space="preserve">                                                                 081  B1 072  B1 074  B1 065  B2 089  A2        </t>
  </si>
  <si>
    <t xml:space="preserve">23605905   M ASHUTOSH SRIVASTAVA                                 301     042     043     041     083              A2 A2 A2    PASS                      </t>
  </si>
  <si>
    <t xml:space="preserve">                                                                 092  A1 091  A1 083  A2 062  B2 083  B1        </t>
  </si>
  <si>
    <t xml:space="preserve">23605906   F ASTHA SINGH                                         301     042     043     044     302              A2 B1 A2    PASS                      </t>
  </si>
  <si>
    <t xml:space="preserve">                                                                 086  A2 067  B2 072  B1 090  A2 094  A1        </t>
  </si>
  <si>
    <t xml:space="preserve">23605907   M AVTANSH SINGH                                       301     042     043     044     302              A2 A2 A2    PASS                      </t>
  </si>
  <si>
    <t xml:space="preserve">                                                                 095  A1 072  B1 079  B1 094  A1 090  A1        </t>
  </si>
  <si>
    <t xml:space="preserve">23605908   M AWANISH PRATAP YADAV                                301     042     043     041     036              A2 A1 A2    PASS                      </t>
  </si>
  <si>
    <t xml:space="preserve">                                                                 083  B1 079  A2 074  B1 066  B2 097  A2        </t>
  </si>
  <si>
    <t xml:space="preserve">23605909   F AYUSHI RAHEJA                                       301     042     043     044     037              A1 A2 A2    PASS                      </t>
  </si>
  <si>
    <t xml:space="preserve">                                                                 093  A1 093  A1 089  A2 094  A1 083  B1        </t>
  </si>
  <si>
    <t xml:space="preserve">23605910   F AYUSHI SINGH                                        301     042     043     041     030              A2 A2 A1    PASS                      </t>
  </si>
  <si>
    <t xml:space="preserve">                                                                 094  A1 087  A1 098  A1 095  A1 098  A1        </t>
  </si>
  <si>
    <t xml:space="preserve">23605911   F AYUSHI VERMA                                        301     042     043     044     037              A1 A2 A2    PASS                      </t>
  </si>
  <si>
    <t xml:space="preserve">                                                                 094  A1 072  B1 083  A2 095  A1 094  A2        </t>
  </si>
  <si>
    <t xml:space="preserve">23605912   M CHANDRAHASH                                         301     042     043     041     036              A2 A1 A2    PASS                      </t>
  </si>
  <si>
    <t xml:space="preserve">                                                                 087  A2 080  A2 075  B1 068  B1 086  C2        </t>
  </si>
  <si>
    <t>DATE:- 12/05/2023    C.B.S.E. - SENIOR SCHOOL CERTIFICATE EXAMINATION (MAIN)-2023      REGION: PRAYAGRAJ         PAGE:-       2</t>
  </si>
  <si>
    <t xml:space="preserve">23605913   F CHESTHA MADAN                                       301     042     043     041     048              A2 A1 A2    PASS                      </t>
  </si>
  <si>
    <t xml:space="preserve">                                                                 089  A2 088  A1 095  A1 084  A2 098  A1        </t>
  </si>
  <si>
    <t xml:space="preserve">23605914   F DEEPIKA SRIVASTAVA                                  301     042     043     041     048              A2 A2 A2    PASS                      </t>
  </si>
  <si>
    <t xml:space="preserve">                                                                 070  C1 055  D1 061  C1 044  D2 087  A2        </t>
  </si>
  <si>
    <t xml:space="preserve">23605915   M DEVESH GUPTA                                        301     042     043     041     083              A2 A2 A2    PASS                      </t>
  </si>
  <si>
    <t xml:space="preserve">                                                                 097  A1 095  A1 095  A1 092  A1 082  B2        </t>
  </si>
  <si>
    <t xml:space="preserve">23605916   M DHAVAL J PRASAD                                     301     042     043     041     048              A1 A1 A1    PASS                      </t>
  </si>
  <si>
    <t xml:space="preserve">                                                                 090  A2 062  C1 059  C2 053  C2 082  B1        </t>
  </si>
  <si>
    <t xml:space="preserve">23605917   M DIVYANSH MISHRA                                     301     042     043     041     083              A1 A2 A2    PASS                      </t>
  </si>
  <si>
    <t xml:space="preserve">                                                                 083  B1 095  A1 086  A2 090  A1 094  A1        </t>
  </si>
  <si>
    <t xml:space="preserve">23605918   F HARSHITA VERMA                                      301     042     043     044     302              A1 A2 A2    PASS                      </t>
  </si>
  <si>
    <t xml:space="preserve">                                                                 073  C1 064  C1 060  C2 085  A2 081  B1        </t>
  </si>
  <si>
    <t xml:space="preserve">23605919   F ISHIKA MANWANI                                      301     042     043     044     049              A2 B1 A2    PASS                      </t>
  </si>
  <si>
    <t xml:space="preserve">                                                                 087  A2 059  C2 057  D1 063  C2 087  C1        </t>
  </si>
  <si>
    <t xml:space="preserve">23605920   F KHYATI AGARWAL                                      301     042     043     041     048              A2 A1 A2    PASS                      </t>
  </si>
  <si>
    <t xml:space="preserve">                                                                 083  B1 095  A1 086  A2 085  A2 095  A1        </t>
  </si>
  <si>
    <t xml:space="preserve">23605921   M KONARK TIWARI                                       301     042     043     041     048              A1 A1 A2    PASS                      </t>
  </si>
  <si>
    <t xml:space="preserve">                                                                 090  A2 086  A2 089  A2 080  A2 096  A1        </t>
  </si>
  <si>
    <t xml:space="preserve">23605922   M KUSHAGRA SINHA                                      301     042     043     041     083              A2 A2 A2    PASS                      </t>
  </si>
  <si>
    <t xml:space="preserve">                                                                 083  B1 069  B2 052  D2 044  D2 076  C1        </t>
  </si>
  <si>
    <t xml:space="preserve">23605923   F MEHER KAUR ARORA                                    301     042     043     044     037              A2 B1 A2    PASS                      </t>
  </si>
  <si>
    <t xml:space="preserve">                                                                 086  A2 079  A2 070  B2 082  B1 094  A2        </t>
  </si>
  <si>
    <t xml:space="preserve">23605924   F NANCY                                               301     042     043     044     037              A1 B1 A1    PASS                      </t>
  </si>
  <si>
    <t xml:space="preserve">                                                                 093  A1 088  A1 079  B1 095  A1 095  A1        </t>
  </si>
  <si>
    <t xml:space="preserve">23605925   M OM MANCHANDA                                        301     042     043     041     048              A1 A1 A1    PASS                      </t>
  </si>
  <si>
    <t xml:space="preserve">                                                                 095  A1 095  A1 095  A1 090  A1 096  A1        </t>
  </si>
  <si>
    <t xml:space="preserve">23605926   F PRIYANSHI SINGH                                     301     042     043     044     037              A1 A2 A2    PASS                      </t>
  </si>
  <si>
    <t xml:space="preserve">                                                                 084  B1 093  A1 062  C1 096  A1 094  A2        </t>
  </si>
  <si>
    <t xml:space="preserve">23605927   M RAKSHIT GUPTA                                       301     042     043     044     037              A2 A2 A2    PASS                      </t>
  </si>
  <si>
    <t xml:space="preserve">                                                                 087  A2 079  A2 060  C2 075  B2 065  C2        </t>
  </si>
  <si>
    <t xml:space="preserve">23605928   M RAMAN PREET SINGH                                   301     042     043     044     037              A2 A2 A2    PASS                      </t>
  </si>
  <si>
    <t xml:space="preserve">                                                                 082  B1 083  A2 074  B1 090  A2 076  B2        </t>
  </si>
  <si>
    <t xml:space="preserve">23605929   F RIDHIMA VERMA                                       301     302     042     043     044              A1 B1 A2    PASS                      </t>
  </si>
  <si>
    <t xml:space="preserve">                                                                 083  B1 091  A1 088  A1 087  A2 094  A1        </t>
  </si>
  <si>
    <t xml:space="preserve">23605930   F RITIKA SAWLANI                                      301     042     043     041     034              A1 B1 A2    PASS                      </t>
  </si>
  <si>
    <t xml:space="preserve">                                                                 095  A1 088  A1 093  A1 063  B2 100  A1        </t>
  </si>
  <si>
    <t xml:space="preserve">23605931   M SAKSHAM VERMA                                       301     042     043     044     037              A1 A2 A2    PASS                      </t>
  </si>
  <si>
    <t xml:space="preserve">                                                                 085  B1 087  A1 077  B1 087  A2 059  D1        </t>
  </si>
  <si>
    <t xml:space="preserve">23605932   F SAKSHI RUTH KANT                                    301     042     043     044     049              A1 A2 A2    PASS                      </t>
  </si>
  <si>
    <t xml:space="preserve">                                                                 094  A1 080  A2 067  B2 093  A1 096  A2        </t>
  </si>
  <si>
    <t xml:space="preserve">23605933   F SAKSHI SINGH                                        301     042     043     044     037              A1 A2 A1    PASS                      </t>
  </si>
  <si>
    <t xml:space="preserve">                                                                 090  A2 078  A2 059  C2 081  B1 092  A2        </t>
  </si>
  <si>
    <t xml:space="preserve">23605934   M SATYA PRAKASH MISHRA                                301     042     043     044     037              A2 A1 A2    PASS                      </t>
  </si>
  <si>
    <t xml:space="preserve">                                                                 072  C1 071  B1 051  D2 069  C1 057  D1        </t>
  </si>
  <si>
    <t xml:space="preserve">23605935   F SHAMBHVI SINGH                                      301     042     043     044     049              A2 B1 A2    PASS                      </t>
  </si>
  <si>
    <t xml:space="preserve">                                                                 085  B1 067  B2 051  D2 081  B1 096  A2        </t>
  </si>
  <si>
    <t>DATE:- 12/05/2023    C.B.S.E. - SENIOR SCHOOL CERTIFICATE EXAMINATION (MAIN)-2023      REGION: PRAYAGRAJ         PAGE:-       3</t>
  </si>
  <si>
    <t xml:space="preserve">23605936   M SHASHWAT SHUKLA                                     301     042     043     041     034              A1 A1 A2    PASS                      </t>
  </si>
  <si>
    <t xml:space="preserve">                                                                 093  A1 095  A1 082  A2 065  B2 095  A2        </t>
  </si>
  <si>
    <t xml:space="preserve">23605937   M SHIKHAR JEET SINGH                                  301     042     043     041     044              A2 A2 A2    PASS                      </t>
  </si>
  <si>
    <t xml:space="preserve">                                                                 084  B1 072  B1 060  C2 053  C2 080  B1        </t>
  </si>
  <si>
    <t xml:space="preserve">23605938   M SHIVAM YADAV                                        301     042     043     041     048              A2 A1 A2    PASS                      </t>
  </si>
  <si>
    <t xml:space="preserve">                                                                 096  A1 095  A1 088  A2 067  B1 096  A1        </t>
  </si>
  <si>
    <t xml:space="preserve">23605939   F SHREYA VERMA                                        301     042     043     041     048              A2 A2 A2    PASS                      </t>
  </si>
  <si>
    <t xml:space="preserve">                                                                 094  A1 098  A1 095  A1 097  A1 094  A1        </t>
  </si>
  <si>
    <t xml:space="preserve">23605940   M SUDHISH GUPTA                                       301     042     043     041     083              A1 A2 A1    PASS                      </t>
  </si>
  <si>
    <t xml:space="preserve">                                                                 098  A1 095  A1 098  A1 098  A1 098  A1        </t>
  </si>
  <si>
    <t xml:space="preserve">23605941   F SUNANDINI TRIPATHI                                  301     042     043     044     037              A2 A2 A2    PASS                      </t>
  </si>
  <si>
    <t xml:space="preserve">                                                                 091  A1 074  B1 072  B1 094  A1 069  C1        </t>
  </si>
  <si>
    <t xml:space="preserve">23605942   F SUNIDHI SHUKLA                                      301     042     043     041     048              A1 A1 A2    PASS                      </t>
  </si>
  <si>
    <t xml:space="preserve">                                                                 088  A2 082  A2 059  C2 045  D2 088  A2        </t>
  </si>
  <si>
    <t xml:space="preserve">23605943   M SURYANSH SINGH                                      301     042     043     041     048              A1 A1 A2    PASS                      </t>
  </si>
  <si>
    <t xml:space="preserve">                                                                 091  A1 093  A1 095  A1 095  A1 096  A1        </t>
  </si>
  <si>
    <t xml:space="preserve">23605944   M SURYANSH TRIPATHI                                   301     042     043     041     034              A1 A1 A2    PASS                      </t>
  </si>
  <si>
    <t xml:space="preserve">                                                                 086  A2 085  A2 075  B1 079  A2 089  C1        </t>
  </si>
  <si>
    <t xml:space="preserve">23605945   M SUSHANT SRIVASTAVA                                  301     042     043     041     083              A2 A2 A2    PASS                      </t>
  </si>
  <si>
    <t xml:space="preserve">                                                                 094  A1 093  A1 088  A2 075  B1 088  A2        </t>
  </si>
  <si>
    <t xml:space="preserve">23605946   F SWASTI PANDEY                                       301     042     043     041     048              A1 A1 A1    PASS                      </t>
  </si>
  <si>
    <t xml:space="preserve">                                                                 092  A1 078  A2 063  C1 053  C2 087  A2        </t>
  </si>
  <si>
    <t xml:space="preserve">23605947   M SWASTIK TIWARI                                      301     042     043     044     049              B1 B1 A1    PASS                      </t>
  </si>
  <si>
    <t xml:space="preserve">                                                                 065  C2 065  B2 058  D1 075  B2 080  D1        </t>
  </si>
  <si>
    <t xml:space="preserve">23605948   M SYED MOHAMMAD ASKARI ABIDI                          301     042     043     041     083              A1 A1 A1    PASS                      </t>
  </si>
  <si>
    <t xml:space="preserve">                                                                 090  A2 085  A2 073  B1 061  B2 091  A2        </t>
  </si>
  <si>
    <t xml:space="preserve">23605949   M UJJWAL SHUKLA                                       301     042     043     041     083              A1 A2 A2    PASS                      </t>
  </si>
  <si>
    <t xml:space="preserve">                                                                 076  B2 056  C2 063  C1 045  D2 076  C1        </t>
  </si>
  <si>
    <t xml:space="preserve">23605950   M UTKARSH SINGH                                       301     042     043     041     048              A2 A1 A1    PASS                      </t>
  </si>
  <si>
    <t xml:space="preserve">                                                                 093  A1 082  A2 093  A1 063  B2 095  A1        </t>
  </si>
  <si>
    <t xml:space="preserve">23605951   M UTKARSH VERMA                                       301     042     043     041     030              A2 A1 A2    PASS                      </t>
  </si>
  <si>
    <t xml:space="preserve">                                                                 094  A1 091  A1 088  A2 068  B1 091  A1        </t>
  </si>
  <si>
    <t xml:space="preserve">23605952   F VAISHNAVI SRIVASTAVA                                301     302     042     043     044              A1 A2 A2    PASS                      </t>
  </si>
  <si>
    <t xml:space="preserve">                                                                 092  A1 082  B1 084  A2 091  A1 088  A2        </t>
  </si>
  <si>
    <t xml:space="preserve">23605953   F VANSHIKA SINGH                                      301     042     043     041     083              A1 A2 A2    PASS                      </t>
  </si>
  <si>
    <t xml:space="preserve">                                                                 095  A1 087  A1 095  A1 079  A2 093  A2        </t>
  </si>
  <si>
    <t xml:space="preserve">23605954   F VARSHA RAI                                          301     042     043     041     083              A1 A2 A2    PASS                      </t>
  </si>
  <si>
    <t xml:space="preserve">                                                                 098  A1 060  C2 063  C1 055  C1 080  B2        </t>
  </si>
  <si>
    <t xml:space="preserve">23605955   F VEDANSHI MISHRA                                     301     042     043     041     034              A1 A2 A2    PASS                      </t>
  </si>
  <si>
    <t xml:space="preserve">                                                                 095  A1 082  A2 063  C1 060  B2 099  A1        </t>
  </si>
  <si>
    <t xml:space="preserve">23605956   F YASHIKA MAKHEJA                                     301     042     043     044     037              A1 B1 A2    PASS                      </t>
  </si>
  <si>
    <t xml:space="preserve">                                                                 094  A1 088  A1 085  A2 086  A2 095  A1        </t>
  </si>
  <si>
    <t xml:space="preserve">23605957   M YUVRAJ SINGH                                        301     042     043     041     083              A2 A1 A2    PASS                      </t>
  </si>
  <si>
    <t xml:space="preserve">                                                                 096  A1 078  A2 095  A1 063  B2 091  A2        </t>
  </si>
  <si>
    <t xml:space="preserve">23605958   M ADITYA SURYAVANSHI                                  301     055     054     041     030              A2 A2 B1    COMP               041    </t>
  </si>
  <si>
    <t xml:space="preserve">                                                                 078  B2 039  D2 054  C2 028  E  059  C2        </t>
  </si>
  <si>
    <t>DATE:- 12/05/2023    C.B.S.E. - SENIOR SCHOOL CERTIFICATE EXAMINATION (MAIN)-2023      REGION: PRAYAGRAJ         PAGE:-       4</t>
  </si>
  <si>
    <t xml:space="preserve">23605959   M ANIMESH VERMA                                       301     055     054     037     030              B1 A2 B1    COMP               055    </t>
  </si>
  <si>
    <t xml:space="preserve">                                                                 089  A2 023  E  063  C1 054  D2 081  A2        </t>
  </si>
  <si>
    <t xml:space="preserve">23605960   M ARYA KHATRI                                         301     055     054     049     030              B1 A2 B1    PASS                      </t>
  </si>
  <si>
    <t xml:space="preserve">                                                                 090  A2 058  C1 080  B1 093  B1 078  B1        </t>
  </si>
  <si>
    <t xml:space="preserve">23605961   F ARYAA SRIVASTAVA                                    301     055     054     037     030              A1 A2 A2    PASS                      </t>
  </si>
  <si>
    <t xml:space="preserve">                                                                 089  A2 079  B1 093  A1 084  B1 083  A2        </t>
  </si>
  <si>
    <t xml:space="preserve">23605962   M ARYAN RASTOGI                                       301     055     054     041     030              A2 B1 A2    PASS                      </t>
  </si>
  <si>
    <t xml:space="preserve">                                                                 083  B1 095  A1 090  A1 062  B2 092  A1        </t>
  </si>
  <si>
    <t xml:space="preserve">23605963   M ARYAN SINGH                                         301     055     054     041     030              A2 A2 A2    PASS                      </t>
  </si>
  <si>
    <t xml:space="preserve">                                                                 095  A1 076  B1 090  A1 048  D1 082  A2        </t>
  </si>
  <si>
    <t xml:space="preserve">23605964   M ATYANT KUMAR CHAURASIA                              301     055     054     049     083              A2 A2 B1    PASS                      </t>
  </si>
  <si>
    <t xml:space="preserve">                                                                 080  B2 051  C2 068  B2 092  B1 069  C2        </t>
  </si>
  <si>
    <t xml:space="preserve">23605965   M AVIRAL RAJ                                          301     055     054     037     034              B1 A2 B1    PASS                      </t>
  </si>
  <si>
    <t xml:space="preserve">                                                                 073  C1 037  D2 057  C2 060  D1 096  A2        </t>
  </si>
  <si>
    <t xml:space="preserve">23605966   F CHHAVI CHANDANI                                     301     055     054     049     030              A2 A2 A2    PASS                      </t>
  </si>
  <si>
    <t xml:space="preserve">                                                                 092  A1 066  B2 062  C1 093  B1 081  A2        </t>
  </si>
  <si>
    <t xml:space="preserve">23605967   M DAKSH HINGORANI                                     301     055     054     037     030              A1 A2 A2    PASS                      </t>
  </si>
  <si>
    <t xml:space="preserve">                                                                 087  A2 095  A1 085  A2 090  A2 088  A2        </t>
  </si>
  <si>
    <t xml:space="preserve">23605968   M DIVYANSH KESARWANI                                  301     055     054     041     030              A1 A2 A2    PASS                      </t>
  </si>
  <si>
    <t xml:space="preserve">                                                                 087  A2 088  A2 085  A2 057  C1 075  B1        </t>
  </si>
  <si>
    <t xml:space="preserve">23605969   M GAGAN MAKHEJA                                       301     055     054     041     030              A1 A2 A1    PASS                      </t>
  </si>
  <si>
    <t xml:space="preserve">                                                                 097  A1 096  A1 095  A1 095  A1 098  A1        </t>
  </si>
  <si>
    <t xml:space="preserve">23605970   M GAUTAM MANDHYAN                                     301     055     054     037     030              A2 A2 A2    PASS                      </t>
  </si>
  <si>
    <t xml:space="preserve">                                                                 080  B2 053  C2 074  B1 081  B2 088  A2        </t>
  </si>
  <si>
    <t xml:space="preserve">23605971   F INSHITA TULSANI                                     301     055     054     037     030              A1 A2 A2    PASS                      </t>
  </si>
  <si>
    <t xml:space="preserve">                                                                 072  C1 057  C1 070  B2 063  C2 072  B2        </t>
  </si>
  <si>
    <t xml:space="preserve">23605972   F JASKARAN KAUR SETHI                                 301     055     054     037     030              A1 A2 A2    PASS                      </t>
  </si>
  <si>
    <t xml:space="preserve">                                                                 097  A1 059  C1 096  A1 082  B2 089  A1        </t>
  </si>
  <si>
    <t xml:space="preserve">23605973   F KKRITIKA RAJPAL                                     301     055     054     037     030              A1 B1 A1    PASS                      </t>
  </si>
  <si>
    <t xml:space="preserve">                                                                 095  A1 100  A1 099  A1 097  A1 099  A1        </t>
  </si>
  <si>
    <t xml:space="preserve">23605974   M KRISH KESARWANI                                     301     055     054     041     030              A2 A2 A2    PASS                      </t>
  </si>
  <si>
    <t xml:space="preserve">                                                                 082  B1 065  B2 067  B2 054  C2 074  B1        </t>
  </si>
  <si>
    <t xml:space="preserve">23605975   M KUMAR ALANKRIT                                      301     055     054     037     030              A2 A2 B1    PASS                      </t>
  </si>
  <si>
    <t xml:space="preserve">                                                                 084  B1 067  B2 088  A2 077  B2 090  A1        </t>
  </si>
  <si>
    <t xml:space="preserve">23605976   M MAAZ AHMAD                                          301     055     054     049     030              A1 A2 B1    PASS                      </t>
  </si>
  <si>
    <t xml:space="preserve">                                                                 079  B2 054  C2 085  A2 092  B1 089  A1        </t>
  </si>
  <si>
    <t xml:space="preserve">23605977   F MAHIMA SINGH                                        301     055     054     037     030              A1 A2 A2    PASS                      </t>
  </si>
  <si>
    <t xml:space="preserve">                                                                 087  A2 076  B1 086  A2 092  A2 089  A1        </t>
  </si>
  <si>
    <t xml:space="preserve">23605978   M MAYANK SHANKAR SRIVASTAVA                           301     055     054     037     030              A2 A2 A2    PASS                      </t>
  </si>
  <si>
    <t xml:space="preserve">                                                                 092  A1 095  A1 097  A1 094  A2 095  A1        </t>
  </si>
  <si>
    <t xml:space="preserve">23605979   F MEENAL SRIVASTAVA                                   301     055     054     041     030              A1 A2 A1    PASS                      </t>
  </si>
  <si>
    <t xml:space="preserve">                                                                 093  A1 099  A1 100  A1 086  A2 098  A1        </t>
  </si>
  <si>
    <t xml:space="preserve">23605980   M MOHD SHADAN SIDDIQUI                                301     055     054     041     030              A2 A2 A2    PASS                      </t>
  </si>
  <si>
    <t xml:space="preserve">                                                                 090  A2 098  A1 095  A1 090  A1 090  A1        </t>
  </si>
  <si>
    <t xml:space="preserve">23605981   M MOHD  SWALEH HAYAT                                  301     055     054     037     030              B1 A2 B1    PASS                      </t>
  </si>
  <si>
    <t xml:space="preserve">                                                                 073  C1 061  C1 074  B1 065  C2 063  C1        </t>
  </si>
  <si>
    <t>DATE:- 12/05/2023    C.B.S.E. - SENIOR SCHOOL CERTIFICATE EXAMINATION (MAIN)-2023      REGION: PRAYAGRAJ         PAGE:-       5</t>
  </si>
  <si>
    <t xml:space="preserve">23605982   M MUDIT SINGH                                         301     055     054     037     030              A1 A2 A2    PASS                      </t>
  </si>
  <si>
    <t xml:space="preserve">                                                                 089  A2 097  A1 098  A1 092  A2 096  A1        </t>
  </si>
  <si>
    <t xml:space="preserve">23605983   F NAVYA RAIZADA                                       301     055     054     037     030              A1 A2 A1    PASS                      </t>
  </si>
  <si>
    <t xml:space="preserve">                                                                 089  A2 097  A1 098  A1 095  A1 100  A1        </t>
  </si>
  <si>
    <t xml:space="preserve">23605984   F PARI VAISH                                          301     055     054     041     030              A1 A2 A1    PASS                      </t>
  </si>
  <si>
    <t xml:space="preserve">                                                                 097  A1 099  A1 098  A1 095  A1 098  A1        </t>
  </si>
  <si>
    <t xml:space="preserve">23605985   F PRASHASTI PATEL                                     301     055     054     037     030              A1 A2 A2    PASS                      </t>
  </si>
  <si>
    <t xml:space="preserve">                                                                 086  A2 062  B2 091  A1 083  B1 088  A2        </t>
  </si>
  <si>
    <t xml:space="preserve">23605986   F PREESHA SINGH                                       301     055     054     049     030              A1 A2 A2    PASS                      </t>
  </si>
  <si>
    <t xml:space="preserve">                                                                 083  B1 042  D2 054  C2 094  A2 071  B2        </t>
  </si>
  <si>
    <t xml:space="preserve">23605987   M PUSHPENDRA PRATAP SINGH                             301     055     054     037     030              A2 A2 B1    PASS                      </t>
  </si>
  <si>
    <t xml:space="preserve">                                                                 082  B1 051  C2 062  C1 062  C2 080  B1        </t>
  </si>
  <si>
    <t xml:space="preserve">23605988   M RANAK VATS                                          301     055     054     037     030              A2 A2 B1    PASS                      </t>
  </si>
  <si>
    <t xml:space="preserve">                                                                 072  C1 088  A2 093  A1 085  B1 095  A1        </t>
  </si>
  <si>
    <t xml:space="preserve">23605989   F RASHI MANDHYAN                                      301     055     054     041     034              A2 A2 A2    PASS                      </t>
  </si>
  <si>
    <t xml:space="preserve">                                                                 083  B1 072  B1 083  A2 044  D2 097  A2        </t>
  </si>
  <si>
    <t xml:space="preserve">23605990   M RUDRANSH AGARWAL                                    301     055     054     049     030              A2 B1 A1    PASS                      </t>
  </si>
  <si>
    <t xml:space="preserve">                                                                 092  A1 097  A1 099  A1 097  A1 100  A1        </t>
  </si>
  <si>
    <t xml:space="preserve">23605991   M SATTWIK PAAWAN                                      301     055     054     041     030              A1 A2 A2    PASS                      </t>
  </si>
  <si>
    <t xml:space="preserve">                                                                 093  A1 095  A1 093  A1 071  B1 091  A1        </t>
  </si>
  <si>
    <t xml:space="preserve">23605992   M SURYANSH SINGH                                      301     055     054     037     034              B2 A2 B1    ESSENTIAL REPEAT          </t>
  </si>
  <si>
    <t xml:space="preserve">                                                                 029  E  016  E  029  E  055  D2 072  E         </t>
  </si>
  <si>
    <t xml:space="preserve">23605993   M TANMAY AHUJA                                        301     055     054     037     048              A2 A2 B1    PASS                      </t>
  </si>
  <si>
    <t xml:space="preserve">                                                                 093  A1 095  A1 095  A1 083  B1 096  A1        </t>
  </si>
  <si>
    <t xml:space="preserve">23605994   F TRIPTI AHUJA                                        301     055     054     037     030              A2 A2 A2    PASS                      </t>
  </si>
  <si>
    <t xml:space="preserve">                                                                 080  B2 060  C1 069  B2 071  C1 076  B1        </t>
  </si>
  <si>
    <t xml:space="preserve">23605995   F VANSHIKA MAKHEJA                                    301     055     054     049     030              A1 A2 A2    PASS                      </t>
  </si>
  <si>
    <t xml:space="preserve">                                                                 094  A1 091  A2 094  A1 093  B1 088  A2        </t>
  </si>
  <si>
    <t xml:space="preserve">23605996   F VIDUSHI CHANDRA                                     301     055     054     037     030              A1 A2 A2    PASS                      </t>
  </si>
  <si>
    <t xml:space="preserve">                                                                 093  A1 060  C1 074  B1 064  C2 086  A2        </t>
  </si>
  <si>
    <t xml:space="preserve">23605997   M ADITYA PANDEY                                       301     027     029     028     302              A1 A2 A2    PASS                      </t>
  </si>
  <si>
    <t xml:space="preserve">                                                                 095  A1 099  A1 095  A1 096  A1 080  B1        </t>
  </si>
  <si>
    <t xml:space="preserve">23605998   M ADITYA VIKRAM SINGH                                 301     027     029     028     302              A1 A2 A2    PASS                      </t>
  </si>
  <si>
    <t xml:space="preserve">                                                                 078  B2 085  A1 088  A1 094  A1 084  A2        </t>
  </si>
  <si>
    <t xml:space="preserve">23605999   F AGRATA CHATURVEDI                                   301     027     029     037     030              A2 A2 A2    PASS                      </t>
  </si>
  <si>
    <t xml:space="preserve">                                                                 087  A2 085  A1 080  A2 075  C1 076  B1        </t>
  </si>
  <si>
    <t xml:space="preserve">23606000   M ANSH PRAKASH                                        301     027     029     037     030              B1 A2 A2    PASS                      </t>
  </si>
  <si>
    <t xml:space="preserve">                                                                 090  A2 096  A1 092  A1 095  A1 092  A1        </t>
  </si>
  <si>
    <t xml:space="preserve">23606001   F ANSHIKA GUPTA                                       301     027     029     028     302              A2 A2 A2    PASS                      </t>
  </si>
  <si>
    <t xml:space="preserve">                                                                 083  B1 083  A2 066  B2 077  A2 056  D1        </t>
  </si>
  <si>
    <t xml:space="preserve">23606002   M ARYANE PRATAP SINGH                                 301     027     029     049     048              B2 A2 B1    PASS                      </t>
  </si>
  <si>
    <t xml:space="preserve">                                                                 081  B1 062  B2 073  B1 083  C2 078  B2        </t>
  </si>
  <si>
    <t xml:space="preserve">23606003   F ASMITA                                              301     027     029     041     083              A1 A2 A1    PASS                      </t>
  </si>
  <si>
    <t xml:space="preserve">                                                                 098  A1 100  A1 097  A1 088  A1 097  A1        </t>
  </si>
  <si>
    <t xml:space="preserve">23606004   M ASVINDER SINGH                                      301     027     029     028     049              B2 A2 A2    PASS                      </t>
  </si>
  <si>
    <t xml:space="preserve">                                                                 085  B1 095  A1 091  A1 093  A1 096  A2        </t>
  </si>
  <si>
    <t>DATE:- 12/05/2023    C.B.S.E. - SENIOR SCHOOL CERTIFICATE EXAMINATION (MAIN)-2023      REGION: PRAYAGRAJ         PAGE:-       6</t>
  </si>
  <si>
    <t xml:space="preserve">23606005   M BHASKAR RAWAT                                       301     027     029     049     048              B2 A2 B1    PASS                      </t>
  </si>
  <si>
    <t xml:space="preserve">                                                                 075  C1 053  C2 065  B2 083  C2 080  B2        </t>
  </si>
  <si>
    <t xml:space="preserve">23606006   F BRINDA CHOPRA                                       301     027     029     034     049              A2 A2 A2    PASS                      </t>
  </si>
  <si>
    <t xml:space="preserve">                                                                 058  D1 065  B2 057  C2 082  D1 087  C1        </t>
  </si>
  <si>
    <t xml:space="preserve">23606007   M DANISH WASI                                         301     027     029     028     037              A2 A2 A2    PASS                      </t>
  </si>
  <si>
    <t xml:space="preserve">                                                                 083  B1 096  A1 093  A1 091  A1 065  C2        </t>
  </si>
  <si>
    <t xml:space="preserve">23606008   F DISHA MANCHANDA                                     301     027     029     037     034              A1 A2 A1    PASS                      </t>
  </si>
  <si>
    <t xml:space="preserve">                                                                 094  A1 087  A1 083  A2 092  A2 095  A2        </t>
  </si>
  <si>
    <t xml:space="preserve">23606009   F DIYA JAISWAL                                        301     027     029     037     083              A2 A2 A2    PASS                      </t>
  </si>
  <si>
    <t xml:space="preserve">                                                                 093  A1 085  A1 088  A1 091  A2 076  C1        </t>
  </si>
  <si>
    <t xml:space="preserve">23606010   F HARSHITA TANDON                                     301     027     029     028     037              A1 A2 A1    PASS                      </t>
  </si>
  <si>
    <t xml:space="preserve">                                                                 093  A1 096  A1 097  A1 098  A1 097  A1        </t>
  </si>
  <si>
    <t xml:space="preserve">23606011   F KAJOL SINGH                                         301     027     029     037     048              A1 A2 A2    PASS                      </t>
  </si>
  <si>
    <t xml:space="preserve">                                                                 088  A2 077  A2 081  A2 082  B2 086  A2        </t>
  </si>
  <si>
    <t xml:space="preserve">23606012   M KARTIK MALHOTRA                                     301     027     029     041     083              B1 A2 A1    PASS                      </t>
  </si>
  <si>
    <t xml:space="preserve">                                                                 093  A1 072  B1 073  B1 044  D2 066  C2        </t>
  </si>
  <si>
    <t xml:space="preserve">23606013   F KASHISH VASWANI                                     301     027     029     030     049              A2 A2 A1    PASS                      </t>
  </si>
  <si>
    <t xml:space="preserve">                                                                 083  B1 074  B1 084  A2 083  A2 097  A1        </t>
  </si>
  <si>
    <t xml:space="preserve">23606014   M KEERTIMAAN                                          301     027     029     030     037              B2 A2 B1    PASS                      </t>
  </si>
  <si>
    <t xml:space="preserve">                                                                 092  A1 072  B1 081  A2 063  C1 078  B2        </t>
  </si>
  <si>
    <t xml:space="preserve">23606015   F KHYATI SRIVASTAVA                                   301     027     029     030     049              A2 A1 A1    PASS                      </t>
  </si>
  <si>
    <t xml:space="preserve">                                                                 097  A1 095  A1 095  A1 091  A1 097  A1        </t>
  </si>
  <si>
    <t xml:space="preserve">23606016   M KRISHNA SHARMA                                      301     027     029     049     034              B2 A2 A2    PASS                      </t>
  </si>
  <si>
    <t xml:space="preserve">                                                                 046  D2 052  C2 061  C1 089  B2 080  D1        </t>
  </si>
  <si>
    <t xml:space="preserve">23606017   M MAYANK TRIPATHI                                     301     027     029     028     302              A2 A2 A1    PASS                      </t>
  </si>
  <si>
    <t xml:space="preserve">                                                                 095  A1 093  A1 096  A1 087  A1 088  A1        </t>
  </si>
  <si>
    <t xml:space="preserve">23606018   F MEENAKSHI YADAV                                     301     027     029     037     083              A2 A2 A2    PASS                      </t>
  </si>
  <si>
    <t xml:space="preserve">                                                                 089  A2 067  B1 074  B1 082  B2 061  D1        </t>
  </si>
  <si>
    <t xml:space="preserve">23606019   F PRAKRITI YADAV                                      301     027     029     049     048              A2 A1 A2    PASS                      </t>
  </si>
  <si>
    <t xml:space="preserve">                                                                 083  B1 093  A1 091  A1 094  A2 095  A1        </t>
  </si>
  <si>
    <t xml:space="preserve">23606020   F PRIYA TRIPATHI                                      301     027     029     028     037              A1 A2 A2    PASS                      </t>
  </si>
  <si>
    <t xml:space="preserve">                                                                 097  A1 097  A1 098  A1 100  A1 095  A1        </t>
  </si>
  <si>
    <t xml:space="preserve">23606021   M RAJYA VARDHAN SINGH                                 301     027     029     048     049              B2 B1 B1    PASS                      </t>
  </si>
  <si>
    <t xml:space="preserve">                                                                 074  C1 052  C2 058  C2 066  C2 088  C1        </t>
  </si>
  <si>
    <t xml:space="preserve">23606022   F REHA RIZWAN                                         301     027     029     049     034              B1 B1 A2    PASS                      </t>
  </si>
  <si>
    <t xml:space="preserve">                                                                 070  C1 060  C1 059  C1 084  C2 080  D1        </t>
  </si>
  <si>
    <t xml:space="preserve">23606023   M RIPUDAMAN RAWAT                                     301     027     029     037     083              A2 A2 B1    PASS                      </t>
  </si>
  <si>
    <t xml:space="preserve">                                                                 092  A1 089  A1 088  A1 095  A1 086  B1        </t>
  </si>
  <si>
    <t xml:space="preserve">23606024   F RIYA SINGH                                          301     027     029     041     030              B1 A2 A2    PASS                      </t>
  </si>
  <si>
    <t xml:space="preserve">                                                                 087  A2 060  C1 067  B2 044  D2 069  B2        </t>
  </si>
  <si>
    <t xml:space="preserve">23606025   M SACHKIRAT SINGH                                     301     027     029     041     030              B1 A2 A2    PASS                      </t>
  </si>
  <si>
    <t xml:space="preserve">                                                                 073  C1 091  A1 090  A1 061  B2 087  A2        </t>
  </si>
  <si>
    <t xml:space="preserve">23606026   F SAUMYA KALANI                                       301     027     029     028     302              A2 A2 A2    PASS                      </t>
  </si>
  <si>
    <t xml:space="preserve">                                                                 094  A1 093  A1 080  A2 095  A1 087  A1        </t>
  </si>
  <si>
    <t xml:space="preserve">23606027   M SHAURYA PRATAP SINGH                                301     027     029     030     049              A1 A1 B1    PASS                      </t>
  </si>
  <si>
    <t xml:space="preserve">                                                                 090  A2 071  B1 066  B2 074  B1 092  B1        </t>
  </si>
  <si>
    <t>DATE:- 12/05/2023    C.B.S.E. - SENIOR SCHOOL CERTIFICATE EXAMINATION (MAIN)-2023      REGION: PRAYAGRAJ         PAGE:-       7</t>
  </si>
  <si>
    <t xml:space="preserve">23606028   F SHIKSHA SRIVASTAVA                                  301     027     029     028     049              A1 A2 A2    PASS                      </t>
  </si>
  <si>
    <t xml:space="preserve">                                                                 096  A1 095  A1 095  A1 099  A1 098  A1        </t>
  </si>
  <si>
    <t xml:space="preserve">23606029   M SHUBHANKAR SARKAR                                   301     027     029     028     049              A2 A1 A2    PASS                      </t>
  </si>
  <si>
    <t xml:space="preserve">                                                                 071  C1 085  A1 077  B1 055  C1 089  B2        </t>
  </si>
  <si>
    <t xml:space="preserve">23606030   F SIDRA RAFAT KHAN                                    301     027     029     028     037              A2 A2 A2    PASS                      </t>
  </si>
  <si>
    <t xml:space="preserve">                                                                 088  A2 088  A1 097  A1 087  A1 096  A1        </t>
  </si>
  <si>
    <t xml:space="preserve">23606031   M SUYASH DWIVEDI                                      301     027     029     030     037              A2 A2 A2    PASS                      </t>
  </si>
  <si>
    <t xml:space="preserve">                                                                 092  A1 095  A1 097  A1 091  A1 093  A2        </t>
  </si>
  <si>
    <t xml:space="preserve">23606032   F TOSHINI SINGH                                       301     027     029     028     049              A1 A2 A2    PASS                      </t>
  </si>
  <si>
    <t xml:space="preserve">                                                                 090  A2 085  A1 091  A1 088  A1 093  B1        </t>
  </si>
  <si>
    <t xml:space="preserve">23606033   F VRINDA SAXENA                                       301     027     029     030     037              A1 A2 A2    PASS                      </t>
  </si>
  <si>
    <t xml:space="preserve">                                                                 094  A1 099  A1 099  A1 098  A1 099  A1        </t>
  </si>
  <si>
    <t xml:space="preserve">23606034   M ARYAMAN FAUZDAR                                     301     027     029     028     049              B2 B1 A1    PASS                      </t>
  </si>
  <si>
    <t xml:space="preserve">                                                                 057  D1 055  C1 062  C1 051  C2 078  D1        </t>
  </si>
  <si>
    <t>TOTAL CANDIDATES :   145 TOTAL PASS :   140 TOTAL COMPTT. :     4 TOTAL ESSENTIAL REPEAT :     1 TOTAL ABSENT :     0_x001A_</t>
  </si>
  <si>
    <t>A1</t>
  </si>
  <si>
    <t>A2</t>
  </si>
  <si>
    <t>PASS</t>
  </si>
  <si>
    <t>B1</t>
  </si>
  <si>
    <t>B2</t>
  </si>
  <si>
    <t>D2</t>
  </si>
  <si>
    <t>E</t>
  </si>
  <si>
    <t>C2</t>
  </si>
  <si>
    <t>C1</t>
  </si>
  <si>
    <t>D1</t>
  </si>
  <si>
    <t>CHANDRAHASH</t>
  </si>
  <si>
    <t>NANCY</t>
  </si>
  <si>
    <t>ASMITA</t>
  </si>
  <si>
    <t>KEERTIMAAN</t>
  </si>
  <si>
    <t>AADITYA SRIVASTAVA</t>
  </si>
  <si>
    <t>ABHISHEK TIWARI</t>
  </si>
  <si>
    <t>ADITI SINGH</t>
  </si>
  <si>
    <t>ADITI TRIPATHI</t>
  </si>
  <si>
    <t>ADITYA KAUSHAL</t>
  </si>
  <si>
    <t>ADITYA RAJ ARORA</t>
  </si>
  <si>
    <t>ADITYA SINGH</t>
  </si>
  <si>
    <t>AKHIL YADAV</t>
  </si>
  <si>
    <t>COMP               041</t>
  </si>
  <si>
    <t>AKSHITA DUBEY</t>
  </si>
  <si>
    <t>AMAN MISHRA</t>
  </si>
  <si>
    <t>AMBRISH PRATAP YADAV</t>
  </si>
  <si>
    <t>ANADI PRAKHAR SINGH</t>
  </si>
  <si>
    <t>ANANYA DWIVEDI</t>
  </si>
  <si>
    <t>ARCHITA SINGH</t>
  </si>
  <si>
    <t>ARNAV YADAV</t>
  </si>
  <si>
    <t>ASHUTOSH SRIVASTAVA</t>
  </si>
  <si>
    <t>ASTHA SINGH</t>
  </si>
  <si>
    <t>AVTANSH SINGH</t>
  </si>
  <si>
    <t>AWANISH PRATAP YADAV</t>
  </si>
  <si>
    <t>AYUSHI RAHEJA</t>
  </si>
  <si>
    <t>AYUSHI SINGH</t>
  </si>
  <si>
    <t>AYUSHI VERMA</t>
  </si>
  <si>
    <t>CHESTHA MADAN</t>
  </si>
  <si>
    <t>DEEPIKA SRIVASTAVA</t>
  </si>
  <si>
    <t>DEVESH GUPTA</t>
  </si>
  <si>
    <t>DHAVAL J PRASAD</t>
  </si>
  <si>
    <t>DIVYANSH MISHRA</t>
  </si>
  <si>
    <t>HARSHITA VERMA</t>
  </si>
  <si>
    <t>ISHIKA MANWANI</t>
  </si>
  <si>
    <t>KHYATI AGARWAL</t>
  </si>
  <si>
    <t>KONARK TIWARI</t>
  </si>
  <si>
    <t>KUSHAGRA SINHA</t>
  </si>
  <si>
    <t>MEHER KAUR ARORA</t>
  </si>
  <si>
    <t>OM MANCHANDA</t>
  </si>
  <si>
    <t>PRIYANSHI SINGH</t>
  </si>
  <si>
    <t>RAKSHIT GUPTA</t>
  </si>
  <si>
    <t>RAMAN PREET SINGH</t>
  </si>
  <si>
    <t>RIDHIMA VERMA</t>
  </si>
  <si>
    <t>RITIKA SAWLANI</t>
  </si>
  <si>
    <t>SAKSHAM VERMA</t>
  </si>
  <si>
    <t>SAKSHI RUTH KANT</t>
  </si>
  <si>
    <t>SAKSHI SINGH</t>
  </si>
  <si>
    <t>SATYA PRAKASH MISHRA</t>
  </si>
  <si>
    <t>SHAMBHVI SINGH</t>
  </si>
  <si>
    <t>SHASHWAT SHUKLA</t>
  </si>
  <si>
    <t>SHIKHAR JEET SINGH</t>
  </si>
  <si>
    <t>SHIVAM YADAV</t>
  </si>
  <si>
    <t>SHREYA VERMA</t>
  </si>
  <si>
    <t>SUDHISH GUPTA</t>
  </si>
  <si>
    <t>SUNANDINI TRIPATHI</t>
  </si>
  <si>
    <t>SUNIDHI SHUKLA</t>
  </si>
  <si>
    <t>SURYANSH SINGH</t>
  </si>
  <si>
    <t>SURYANSH TRIPATHI</t>
  </si>
  <si>
    <t>SUSHANT SRIVASTAVA</t>
  </si>
  <si>
    <t>SWASTI PANDEY</t>
  </si>
  <si>
    <t>SWASTIK TIWARI</t>
  </si>
  <si>
    <t>SYED MOHAMMAD ASKARI ABIDI</t>
  </si>
  <si>
    <t>UJJWAL SHUKLA</t>
  </si>
  <si>
    <t>UTKARSH SINGH</t>
  </si>
  <si>
    <t>UTKARSH VERMA</t>
  </si>
  <si>
    <t>VAISHNAVI SRIVASTAVA</t>
  </si>
  <si>
    <t>VANSHIKA SINGH</t>
  </si>
  <si>
    <t>VARSHA RAI</t>
  </si>
  <si>
    <t>VEDANSHI MISHRA</t>
  </si>
  <si>
    <t>YASHIKA MAKHEJA</t>
  </si>
  <si>
    <t>YUVRAJ SINGH</t>
  </si>
  <si>
    <t>ADITYA SURYAVANSHI</t>
  </si>
  <si>
    <t>ANIMESH VERMA</t>
  </si>
  <si>
    <t>COMP               055</t>
  </si>
  <si>
    <t>ARYA KHATRI</t>
  </si>
  <si>
    <t>ARYAA SRIVASTAVA</t>
  </si>
  <si>
    <t>ARYAN RASTOGI</t>
  </si>
  <si>
    <t>ARYAN SINGH</t>
  </si>
  <si>
    <t>ATYANT KUMAR CHAURASIA</t>
  </si>
  <si>
    <t>AVIRAL RAJ</t>
  </si>
  <si>
    <t>CHHAVI CHANDANI</t>
  </si>
  <si>
    <t>DAKSH HINGORANI</t>
  </si>
  <si>
    <t>DIVYANSH KESARWANI</t>
  </si>
  <si>
    <t>GAGAN MAKHEJA</t>
  </si>
  <si>
    <t>GAUTAM MANDHYAN</t>
  </si>
  <si>
    <t>INSHITA TULSANI</t>
  </si>
  <si>
    <t>JASKARAN KAUR SETHI</t>
  </si>
  <si>
    <t>KKRITIKA RAJPAL</t>
  </si>
  <si>
    <t>KRISH KESARWANI</t>
  </si>
  <si>
    <t>KUMAR ALANKRIT</t>
  </si>
  <si>
    <t>MAAZ AHMAD</t>
  </si>
  <si>
    <t>MAHIMA SINGH</t>
  </si>
  <si>
    <t>MAYANK SHANKAR SRIVASTAVA</t>
  </si>
  <si>
    <t>MEENAL SRIVASTAVA</t>
  </si>
  <si>
    <t>MOHD SHADAN SIDDIQUI</t>
  </si>
  <si>
    <t>MOHD  SWALEH HAYAT</t>
  </si>
  <si>
    <t>MUDIT SINGH</t>
  </si>
  <si>
    <t>NAVYA RAIZADA</t>
  </si>
  <si>
    <t>PARI VAISH</t>
  </si>
  <si>
    <t>PRASHASTI PATEL</t>
  </si>
  <si>
    <t>PREESHA SINGH</t>
  </si>
  <si>
    <t>PUSHPENDRA PRATAP SINGH</t>
  </si>
  <si>
    <t>RANAK VATS</t>
  </si>
  <si>
    <t>RASHI MANDHYAN</t>
  </si>
  <si>
    <t>RUDRANSH AGARWAL</t>
  </si>
  <si>
    <t>SATTWIK PAAWAN</t>
  </si>
  <si>
    <t>ESSENTIAL REPEAT</t>
  </si>
  <si>
    <t>TANMAY AHUJA</t>
  </si>
  <si>
    <t>TRIPTI AHUJA</t>
  </si>
  <si>
    <t>VANSHIKA MAKHEJA</t>
  </si>
  <si>
    <t>VIDUSHI CHANDRA</t>
  </si>
  <si>
    <t>ADITYA PANDEY</t>
  </si>
  <si>
    <t>ADITYA VIKRAM SINGH</t>
  </si>
  <si>
    <t>AGRATA CHATURVEDI</t>
  </si>
  <si>
    <t>ANSH PRAKASH</t>
  </si>
  <si>
    <t>ANSHIKA GUPTA</t>
  </si>
  <si>
    <t>ARYANE PRATAP SINGH</t>
  </si>
  <si>
    <t>ASVINDER SINGH</t>
  </si>
  <si>
    <t>BHASKAR RAWAT</t>
  </si>
  <si>
    <t>BRINDA CHOPRA</t>
  </si>
  <si>
    <t>DANISH WASI</t>
  </si>
  <si>
    <t>DISHA MANCHANDA</t>
  </si>
  <si>
    <t>DIYA JAISWAL</t>
  </si>
  <si>
    <t>HARSHITA TANDON</t>
  </si>
  <si>
    <t>KAJOL SINGH</t>
  </si>
  <si>
    <t>KARTIK MALHOTRA</t>
  </si>
  <si>
    <t>KASHISH VASWANI</t>
  </si>
  <si>
    <t>KHYATI SRIVASTAVA</t>
  </si>
  <si>
    <t>KRISHNA SHARMA</t>
  </si>
  <si>
    <t>MAYANK TRIPATHI</t>
  </si>
  <si>
    <t>MEENAKSHI YADAV</t>
  </si>
  <si>
    <t>PRAKRITI YADAV</t>
  </si>
  <si>
    <t>PRIYA TRIPATHI</t>
  </si>
  <si>
    <t>RAJYA VARDHAN SINGH</t>
  </si>
  <si>
    <t>REHA RIZWAN</t>
  </si>
  <si>
    <t>RIPUDAMAN RAWAT</t>
  </si>
  <si>
    <t>RIYA SINGH</t>
  </si>
  <si>
    <t>SACHKIRAT SINGH</t>
  </si>
  <si>
    <t>SAUMYA KALANI</t>
  </si>
  <si>
    <t>SHAURYA PRATAP SINGH</t>
  </si>
  <si>
    <t>SHIKSHA SRIVASTAVA</t>
  </si>
  <si>
    <t>SHUBHANKAR SARKAR</t>
  </si>
  <si>
    <t>SIDRA RAFAT KHAN</t>
  </si>
  <si>
    <t>SUYASH DWIVEDI</t>
  </si>
  <si>
    <t>TOSHINI SINGH</t>
  </si>
  <si>
    <t>VRINDA SAXENA</t>
  </si>
  <si>
    <t>ARYAMAN FAUZDAR</t>
  </si>
  <si>
    <t>Roll No.</t>
  </si>
  <si>
    <t>Name</t>
  </si>
  <si>
    <t>Sub _1</t>
  </si>
  <si>
    <t>Marks</t>
  </si>
  <si>
    <t>Grade</t>
  </si>
  <si>
    <t>Sub _2</t>
  </si>
  <si>
    <t>Sub _3</t>
  </si>
  <si>
    <t>Sub_4</t>
  </si>
  <si>
    <t xml:space="preserve">Result </t>
  </si>
  <si>
    <t>Total</t>
  </si>
  <si>
    <t>%age</t>
  </si>
  <si>
    <t>School Average</t>
  </si>
  <si>
    <t>JB ACADEMY, FAIZABAD (UP)</t>
  </si>
  <si>
    <t>SUBJECT</t>
  </si>
  <si>
    <t>75% AND ABOVE</t>
  </si>
  <si>
    <t>BETWEEN 60 AND 75</t>
  </si>
  <si>
    <t>BETWEEN 33 AND 60</t>
  </si>
  <si>
    <t>BELOW 33</t>
  </si>
  <si>
    <t>CLASS AVERAGE</t>
  </si>
  <si>
    <t>ALL INDIA GRADE</t>
  </si>
  <si>
    <t>STUDENTS WITH  95%</t>
  </si>
  <si>
    <t>S. No.</t>
  </si>
  <si>
    <t>Name of the student</t>
  </si>
  <si>
    <t>%AGE</t>
  </si>
  <si>
    <t>ENGLISH CORE</t>
  </si>
  <si>
    <t>ECONOMICS</t>
  </si>
  <si>
    <t>MATHS</t>
  </si>
  <si>
    <t>PHYSICAL EDU.</t>
  </si>
  <si>
    <t>PHYSICS</t>
  </si>
  <si>
    <t>CHEMISTRY</t>
  </si>
  <si>
    <t>BIOLOGY</t>
  </si>
  <si>
    <t>PSYCHOLOGY</t>
  </si>
  <si>
    <t>COMPUTER SC.</t>
  </si>
  <si>
    <t>PAINTING</t>
  </si>
  <si>
    <t>B. STUDIES</t>
  </si>
  <si>
    <t>ACCOUNTANCY</t>
  </si>
  <si>
    <t>HISTORY</t>
  </si>
  <si>
    <t>GEOGRAPHY</t>
  </si>
  <si>
    <t>HINDI CORE</t>
  </si>
  <si>
    <t>POLITICAL SC.</t>
  </si>
  <si>
    <t>-</t>
  </si>
  <si>
    <t>MUSIC VOCAL</t>
  </si>
  <si>
    <t>PERCUSSION</t>
  </si>
  <si>
    <t>RESULT  AT  A  GLANCE</t>
  </si>
  <si>
    <t>2009-10</t>
  </si>
  <si>
    <t>SUBJECT WISE PERFORMANCE</t>
  </si>
  <si>
    <t>APPEARED</t>
  </si>
  <si>
    <t>PASSED</t>
  </si>
  <si>
    <t>COMPARTMENT</t>
  </si>
  <si>
    <t>FAILED</t>
  </si>
  <si>
    <t>2010-11</t>
  </si>
  <si>
    <t>SUBJECTS</t>
  </si>
  <si>
    <t>APP.</t>
  </si>
  <si>
    <t>PASS.</t>
  </si>
  <si>
    <t>COMP.</t>
  </si>
  <si>
    <t>FAIL.</t>
  </si>
  <si>
    <t>PASS%</t>
  </si>
  <si>
    <t>2011-12</t>
  </si>
  <si>
    <t>ENGLISH</t>
  </si>
  <si>
    <t>2012-13</t>
  </si>
  <si>
    <t>2013-14</t>
  </si>
  <si>
    <t>BEST IN SUBJECT</t>
  </si>
  <si>
    <t>2014-15</t>
  </si>
  <si>
    <t>NAME OF THE STUDENTS</t>
  </si>
  <si>
    <t>2015-16</t>
  </si>
  <si>
    <t>2016-17</t>
  </si>
  <si>
    <t>2017-18</t>
  </si>
  <si>
    <t>2018-19</t>
  </si>
  <si>
    <t>2019-20</t>
  </si>
  <si>
    <t>2020-21</t>
  </si>
  <si>
    <t>2021-22</t>
  </si>
  <si>
    <t>HINDI</t>
  </si>
  <si>
    <t>HINDUSTANI VOCAL</t>
  </si>
  <si>
    <t>School</t>
  </si>
  <si>
    <t>Total App.</t>
  </si>
  <si>
    <t>Passed</t>
  </si>
  <si>
    <t>Failed</t>
  </si>
  <si>
    <t>Comp</t>
  </si>
  <si>
    <t>Pass %</t>
  </si>
  <si>
    <t>Highest</t>
  </si>
  <si>
    <t>School Ave.</t>
  </si>
  <si>
    <t>90%+</t>
  </si>
  <si>
    <t>80%+</t>
  </si>
  <si>
    <t>70%+</t>
  </si>
  <si>
    <t>60% +</t>
  </si>
  <si>
    <t>&lt;60%</t>
  </si>
  <si>
    <t>ABST</t>
  </si>
  <si>
    <t>JBA</t>
  </si>
  <si>
    <t>RESULT ANALYSIS OF CLASS XII FOR THE YEAR 2022-23</t>
  </si>
  <si>
    <t>2022-23</t>
  </si>
  <si>
    <t>Comparative Analysis of Class XII Result 2022-23</t>
  </si>
  <si>
    <t>Sudhish Gupta, Varsha Rai, Asmita</t>
  </si>
  <si>
    <t xml:space="preserve">Astha Singh, Aditya </t>
  </si>
  <si>
    <t>Asmita</t>
  </si>
  <si>
    <t>Priya Tripathi</t>
  </si>
  <si>
    <t>Vrinda Saxena</t>
  </si>
  <si>
    <t>Sudhish Gupta</t>
  </si>
  <si>
    <t>Navya, Rudrash Agarwal</t>
  </si>
  <si>
    <t>Ritika Sawalani</t>
  </si>
  <si>
    <t>Aman Mishra</t>
  </si>
  <si>
    <t>Sudhish Gpta</t>
  </si>
  <si>
    <t>Shreya Verma</t>
  </si>
  <si>
    <t>Sudhish Gupta, Ayushi Singh</t>
  </si>
  <si>
    <t>Priyanshi Singh</t>
  </si>
  <si>
    <t>Aditi Tripathi</t>
  </si>
  <si>
    <t>Ananya Dwivedi, Shiksha Srivastava</t>
  </si>
  <si>
    <t>Meenal Srivastava</t>
  </si>
  <si>
    <t>Kkritika Rajpal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</si>
</sst>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i/>
      <sz val="11"/>
      <color theme="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b/>
      <sz val="18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3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3.5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2"/>
      <name val="Arial"/>
      <family val="2"/>
    </font>
    <font>
      <sz val="12.5"/>
      <color theme="1"/>
      <name val="Arial"/>
      <family val="2"/>
    </font>
    <font>
      <b/>
      <sz val="12.5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u/>
      <sz val="14"/>
      <name val="Arial"/>
      <family val="2"/>
    </font>
    <font>
      <b/>
      <sz val="8"/>
      <name val="Arial"/>
      <family val="2"/>
    </font>
    <font>
      <b/>
      <sz val="16"/>
      <color theme="1"/>
      <name val="Calibri"/>
      <family val="2"/>
      <scheme val="minor"/>
    </font>
    <font>
      <b/>
      <sz val="10"/>
      <color theme="1"/>
      <name val="Arial"/>
      <family val="2"/>
      <charset val="1"/>
    </font>
    <font>
      <b/>
      <sz val="12"/>
      <color theme="1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158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8" fillId="0" borderId="1" xfId="0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9" fillId="0" borderId="0" xfId="0" applyFont="1"/>
    <xf numFmtId="0" fontId="8" fillId="2" borderId="1" xfId="0" applyFont="1" applyFill="1" applyBorder="1" applyAlignment="1">
      <alignment horizontal="center"/>
    </xf>
    <xf numFmtId="0" fontId="3" fillId="0" borderId="0" xfId="0" applyFont="1"/>
    <xf numFmtId="0" fontId="17" fillId="2" borderId="5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vertical="center"/>
    </xf>
    <xf numFmtId="0" fontId="17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3" borderId="8" xfId="0" applyFont="1" applyFill="1" applyBorder="1" applyAlignment="1">
      <alignment horizontal="center"/>
    </xf>
    <xf numFmtId="0" fontId="17" fillId="0" borderId="1" xfId="0" applyFont="1" applyBorder="1"/>
    <xf numFmtId="0" fontId="3" fillId="3" borderId="1" xfId="0" applyFont="1" applyFill="1" applyBorder="1" applyAlignment="1">
      <alignment horizontal="center"/>
    </xf>
    <xf numFmtId="0" fontId="18" fillId="4" borderId="0" xfId="0" applyFont="1" applyFill="1" applyAlignment="1">
      <alignment horizontal="center"/>
    </xf>
    <xf numFmtId="0" fontId="16" fillId="0" borderId="1" xfId="0" applyFont="1" applyBorder="1" applyAlignment="1">
      <alignment vertical="center"/>
    </xf>
    <xf numFmtId="0" fontId="17" fillId="0" borderId="0" xfId="0" applyFont="1"/>
    <xf numFmtId="0" fontId="0" fillId="0" borderId="0" xfId="0" applyAlignment="1">
      <alignment horizontal="center" vertical="center"/>
    </xf>
    <xf numFmtId="0" fontId="20" fillId="0" borderId="0" xfId="0" quotePrefix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1" fillId="0" borderId="0" xfId="0" applyFont="1" applyAlignment="1">
      <alignment horizontal="center"/>
    </xf>
    <xf numFmtId="10" fontId="23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/>
    </xf>
    <xf numFmtId="10" fontId="23" fillId="0" borderId="1" xfId="0" applyNumberFormat="1" applyFont="1" applyBorder="1" applyAlignment="1">
      <alignment horizontal="center" vertical="center"/>
    </xf>
    <xf numFmtId="0" fontId="17" fillId="0" borderId="8" xfId="0" applyFont="1" applyBorder="1" applyAlignment="1">
      <alignment horizontal="left"/>
    </xf>
    <xf numFmtId="0" fontId="17" fillId="0" borderId="8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9" fontId="2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2" borderId="7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9" fontId="14" fillId="0" borderId="8" xfId="0" applyNumberFormat="1" applyFont="1" applyBorder="1" applyAlignment="1">
      <alignment horizontal="center" vertical="center"/>
    </xf>
    <xf numFmtId="9" fontId="14" fillId="0" borderId="1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24" fillId="0" borderId="1" xfId="0" applyFont="1" applyBorder="1" applyAlignment="1">
      <alignment horizontal="center" vertical="center"/>
    </xf>
    <xf numFmtId="9" fontId="24" fillId="0" borderId="1" xfId="0" applyNumberFormat="1" applyFont="1" applyBorder="1" applyAlignment="1">
      <alignment horizontal="center" vertical="center"/>
    </xf>
    <xf numFmtId="0" fontId="16" fillId="0" borderId="1" xfId="0" applyFont="1" applyBorder="1"/>
    <xf numFmtId="0" fontId="27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4" fillId="0" borderId="0" xfId="0" applyFont="1"/>
    <xf numFmtId="0" fontId="0" fillId="0" borderId="1" xfId="0" applyBorder="1" applyAlignment="1">
      <alignment horizontal="center"/>
    </xf>
    <xf numFmtId="9" fontId="2" fillId="0" borderId="1" xfId="0" applyNumberFormat="1" applyFont="1" applyBorder="1" applyAlignment="1">
      <alignment horizontal="center" vertical="center"/>
    </xf>
    <xf numFmtId="9" fontId="2" fillId="0" borderId="33" xfId="0" applyNumberFormat="1" applyFont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9" fontId="14" fillId="2" borderId="15" xfId="0" applyNumberFormat="1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10" fontId="14" fillId="0" borderId="8" xfId="1" applyNumberFormat="1" applyFont="1" applyBorder="1" applyAlignment="1">
      <alignment horizontal="center" vertical="center"/>
    </xf>
    <xf numFmtId="10" fontId="14" fillId="0" borderId="8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top"/>
    </xf>
    <xf numFmtId="0" fontId="24" fillId="0" borderId="0" xfId="0" applyFont="1" applyAlignment="1">
      <alignment horizontal="center" vertical="top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2" fontId="24" fillId="0" borderId="0" xfId="0" applyNumberFormat="1" applyFont="1" applyAlignment="1">
      <alignment horizontal="center" vertical="top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2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vertical="top" wrapText="1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/>
    </xf>
    <xf numFmtId="0" fontId="21" fillId="2" borderId="14" xfId="0" applyFont="1" applyFill="1" applyBorder="1" applyAlignment="1">
      <alignment horizontal="center"/>
    </xf>
    <xf numFmtId="0" fontId="21" fillId="2" borderId="15" xfId="0" applyFont="1" applyFill="1" applyBorder="1" applyAlignment="1">
      <alignment horizontal="center"/>
    </xf>
    <xf numFmtId="0" fontId="21" fillId="2" borderId="16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4" fillId="2" borderId="22" xfId="0" applyFont="1" applyFill="1" applyBorder="1" applyAlignment="1">
      <alignment horizontal="center"/>
    </xf>
    <xf numFmtId="0" fontId="14" fillId="2" borderId="23" xfId="0" applyFont="1" applyFill="1" applyBorder="1" applyAlignment="1">
      <alignment horizontal="center"/>
    </xf>
    <xf numFmtId="0" fontId="14" fillId="2" borderId="24" xfId="0" applyFont="1" applyFill="1" applyBorder="1" applyAlignment="1">
      <alignment horizontal="center"/>
    </xf>
    <xf numFmtId="0" fontId="14" fillId="2" borderId="25" xfId="0" applyFont="1" applyFill="1" applyBorder="1" applyAlignment="1">
      <alignment horizont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5" fillId="2" borderId="9" xfId="0" applyFont="1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21" fillId="2" borderId="1" xfId="0" applyFont="1" applyFill="1" applyBorder="1" applyAlignment="1">
      <alignment horizontal="center"/>
    </xf>
    <xf numFmtId="0" fontId="22" fillId="0" borderId="12" xfId="0" applyFont="1" applyBorder="1" applyAlignment="1">
      <alignment horizontal="center" vertical="center"/>
    </xf>
    <xf numFmtId="0" fontId="0" fillId="0" borderId="13" xfId="0" applyBorder="1"/>
    <xf numFmtId="0" fontId="0" fillId="0" borderId="18" xfId="0" applyBorder="1"/>
    <xf numFmtId="0" fontId="13" fillId="2" borderId="19" xfId="0" applyFont="1" applyFill="1" applyBorder="1" applyAlignment="1">
      <alignment horizontal="center"/>
    </xf>
    <xf numFmtId="0" fontId="13" fillId="2" borderId="20" xfId="0" applyFont="1" applyFill="1" applyBorder="1" applyAlignment="1">
      <alignment horizontal="center"/>
    </xf>
    <xf numFmtId="0" fontId="13" fillId="2" borderId="21" xfId="0" applyFont="1" applyFill="1" applyBorder="1" applyAlignment="1">
      <alignment horizontal="center"/>
    </xf>
    <xf numFmtId="0" fontId="22" fillId="4" borderId="17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14" fillId="0" borderId="26" xfId="0" applyFont="1" applyBorder="1" applyAlignment="1">
      <alignment horizontal="left"/>
    </xf>
    <xf numFmtId="0" fontId="14" fillId="0" borderId="27" xfId="0" applyFont="1" applyBorder="1" applyAlignment="1">
      <alignment horizontal="left"/>
    </xf>
    <xf numFmtId="0" fontId="26" fillId="0" borderId="26" xfId="0" applyFont="1" applyBorder="1" applyAlignment="1">
      <alignment horizontal="left" vertical="center" wrapText="1"/>
    </xf>
    <xf numFmtId="0" fontId="26" fillId="0" borderId="28" xfId="0" applyFont="1" applyBorder="1" applyAlignment="1">
      <alignment horizontal="left" vertical="center" wrapText="1"/>
    </xf>
    <xf numFmtId="0" fontId="26" fillId="0" borderId="27" xfId="0" applyFont="1" applyBorder="1" applyAlignment="1">
      <alignment horizontal="left" vertical="center" wrapText="1"/>
    </xf>
    <xf numFmtId="0" fontId="14" fillId="0" borderId="17" xfId="0" applyFont="1" applyBorder="1" applyAlignment="1">
      <alignment horizontal="left"/>
    </xf>
    <xf numFmtId="0" fontId="14" fillId="0" borderId="18" xfId="0" applyFont="1" applyBorder="1" applyAlignment="1">
      <alignment horizontal="left"/>
    </xf>
    <xf numFmtId="0" fontId="26" fillId="0" borderId="17" xfId="0" applyFont="1" applyBorder="1" applyAlignment="1">
      <alignment horizontal="left" vertical="center" wrapText="1"/>
    </xf>
    <xf numFmtId="0" fontId="26" fillId="0" borderId="29" xfId="0" applyFont="1" applyBorder="1" applyAlignment="1">
      <alignment horizontal="left" vertical="center" wrapText="1"/>
    </xf>
    <xf numFmtId="0" fontId="26" fillId="0" borderId="18" xfId="0" applyFont="1" applyBorder="1" applyAlignment="1">
      <alignment horizontal="left" vertical="center" wrapText="1"/>
    </xf>
    <xf numFmtId="0" fontId="26" fillId="0" borderId="17" xfId="0" applyFont="1" applyBorder="1" applyAlignment="1">
      <alignment horizontal="left" vertical="center"/>
    </xf>
    <xf numFmtId="0" fontId="26" fillId="0" borderId="29" xfId="0" applyFont="1" applyBorder="1" applyAlignment="1">
      <alignment horizontal="left" vertical="center"/>
    </xf>
    <xf numFmtId="0" fontId="26" fillId="0" borderId="18" xfId="0" applyFont="1" applyBorder="1" applyAlignment="1">
      <alignment horizontal="left" vertical="center"/>
    </xf>
    <xf numFmtId="0" fontId="14" fillId="0" borderId="17" xfId="0" applyFont="1" applyBorder="1" applyAlignment="1">
      <alignment horizontal="left" vertical="center"/>
    </xf>
    <xf numFmtId="0" fontId="14" fillId="0" borderId="18" xfId="0" applyFont="1" applyBorder="1" applyAlignment="1">
      <alignment horizontal="left" vertical="center"/>
    </xf>
    <xf numFmtId="0" fontId="2" fillId="0" borderId="17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3" fillId="0" borderId="17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29" fillId="2" borderId="9" xfId="0" applyFont="1" applyFill="1" applyBorder="1" applyAlignment="1">
      <alignment horizontal="center"/>
    </xf>
    <xf numFmtId="0" fontId="29" fillId="2" borderId="10" xfId="0" applyFont="1" applyFill="1" applyBorder="1" applyAlignment="1">
      <alignment horizontal="center"/>
    </xf>
    <xf numFmtId="0" fontId="29" fillId="2" borderId="11" xfId="0" applyFont="1" applyFill="1" applyBorder="1" applyAlignment="1">
      <alignment horizontal="center"/>
    </xf>
    <xf numFmtId="0" fontId="14" fillId="2" borderId="34" xfId="0" applyFont="1" applyFill="1" applyBorder="1" applyAlignment="1">
      <alignment horizontal="center" vertical="center"/>
    </xf>
    <xf numFmtId="0" fontId="14" fillId="2" borderId="35" xfId="0" applyFont="1" applyFill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10" fontId="14" fillId="0" borderId="26" xfId="0" applyNumberFormat="1" applyFont="1" applyBorder="1" applyAlignment="1">
      <alignment horizontal="center" vertical="center"/>
    </xf>
    <xf numFmtId="0" fontId="2" fillId="0" borderId="30" xfId="0" applyFont="1" applyBorder="1" applyAlignment="1">
      <alignment horizontal="left"/>
    </xf>
    <xf numFmtId="0" fontId="2" fillId="0" borderId="31" xfId="0" applyFont="1" applyBorder="1" applyAlignment="1">
      <alignment horizontal="left"/>
    </xf>
    <xf numFmtId="0" fontId="3" fillId="0" borderId="30" xfId="0" applyFont="1" applyBorder="1" applyAlignment="1">
      <alignment horizontal="left" vertical="center"/>
    </xf>
    <xf numFmtId="0" fontId="3" fillId="0" borderId="32" xfId="0" applyFont="1" applyBorder="1" applyAlignment="1">
      <alignment horizontal="left" vertical="center"/>
    </xf>
    <xf numFmtId="0" fontId="3" fillId="0" borderId="31" xfId="0" applyFont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4A-43EF-9411-14B1B49906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4A-43EF-9411-14B1B49906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54A-43EF-9411-14B1B49906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54A-43EF-9411-14B1B49906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54A-43EF-9411-14B1B49906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54A-43EF-9411-14B1B49906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Sheet2!$L$50:$Q$50</c:f>
              <c:strCache>
                <c:ptCount val="6"/>
                <c:pt idx="0">
                  <c:v>90%+</c:v>
                </c:pt>
                <c:pt idx="1">
                  <c:v>80%+</c:v>
                </c:pt>
                <c:pt idx="2">
                  <c:v>70%+</c:v>
                </c:pt>
                <c:pt idx="3">
                  <c:v>60% +</c:v>
                </c:pt>
                <c:pt idx="4">
                  <c:v>&lt;60%</c:v>
                </c:pt>
                <c:pt idx="5">
                  <c:v>ABST</c:v>
                </c:pt>
              </c:strCache>
            </c:strRef>
          </c:cat>
          <c:val>
            <c:numRef>
              <c:f>Sheet2!$L$51:$Q$51</c:f>
              <c:numCache>
                <c:formatCode>General</c:formatCode>
                <c:ptCount val="6"/>
                <c:pt idx="0">
                  <c:v>39</c:v>
                </c:pt>
                <c:pt idx="1">
                  <c:v>50</c:v>
                </c:pt>
                <c:pt idx="2">
                  <c:v>32</c:v>
                </c:pt>
                <c:pt idx="3">
                  <c:v>21</c:v>
                </c:pt>
                <c:pt idx="4">
                  <c:v>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58-44D8-842B-F7FA2CD86C4C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312962</xdr:colOff>
      <xdr:row>37</xdr:row>
      <xdr:rowOff>108857</xdr:rowOff>
    </xdr:from>
    <xdr:to>
      <xdr:col>25</xdr:col>
      <xdr:colOff>136071</xdr:colOff>
      <xdr:row>52</xdr:row>
      <xdr:rowOff>204109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660A30-DECB-FEE9-3947-0FEF484447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5"/>
  <sheetViews>
    <sheetView topLeftCell="A95" workbookViewId="0">
      <selection activeCell="A95" sqref="A1:XFD1048576"/>
    </sheetView>
  </sheetViews>
  <sheetFormatPr defaultRowHeight="15" x14ac:dyDescent="0.25"/>
  <cols>
    <col min="1" max="1" width="9" bestFit="1" customWidth="1"/>
    <col min="2" max="2" width="30.28515625" bestFit="1" customWidth="1"/>
    <col min="3" max="3" width="7.85546875" bestFit="1" customWidth="1"/>
    <col min="4" max="4" width="7.140625" bestFit="1" customWidth="1"/>
    <col min="5" max="5" width="7.28515625" bestFit="1" customWidth="1"/>
    <col min="6" max="6" width="7.85546875" bestFit="1" customWidth="1"/>
    <col min="7" max="7" width="7.140625" bestFit="1" customWidth="1"/>
    <col min="8" max="8" width="7.28515625" bestFit="1" customWidth="1"/>
    <col min="9" max="9" width="4" bestFit="1" customWidth="1"/>
    <col min="10" max="10" width="7.140625" bestFit="1" customWidth="1"/>
    <col min="11" max="12" width="7.28515625" bestFit="1" customWidth="1"/>
    <col min="13" max="13" width="7.140625" bestFit="1" customWidth="1"/>
    <col min="14" max="15" width="7.28515625" bestFit="1" customWidth="1"/>
    <col min="16" max="16" width="7.140625" bestFit="1" customWidth="1"/>
    <col min="17" max="17" width="7.28515625" bestFit="1" customWidth="1"/>
    <col min="18" max="18" width="17.42578125" bestFit="1" customWidth="1"/>
  </cols>
  <sheetData>
    <row r="1" spans="1:20" s="3" customFormat="1" x14ac:dyDescent="0.25">
      <c r="A1" s="1" t="s">
        <v>462</v>
      </c>
      <c r="B1" s="1" t="s">
        <v>463</v>
      </c>
      <c r="C1" s="2" t="s">
        <v>464</v>
      </c>
      <c r="D1" s="2" t="s">
        <v>465</v>
      </c>
      <c r="E1" s="2" t="s">
        <v>466</v>
      </c>
      <c r="F1" s="2" t="s">
        <v>467</v>
      </c>
      <c r="G1" s="2" t="s">
        <v>465</v>
      </c>
      <c r="H1" s="2" t="s">
        <v>466</v>
      </c>
      <c r="I1" s="2" t="s">
        <v>468</v>
      </c>
      <c r="J1" s="2" t="s">
        <v>465</v>
      </c>
      <c r="K1" s="2" t="s">
        <v>466</v>
      </c>
      <c r="L1" s="2" t="s">
        <v>469</v>
      </c>
      <c r="M1" s="2" t="s">
        <v>465</v>
      </c>
      <c r="N1" s="2" t="s">
        <v>466</v>
      </c>
      <c r="O1" s="2" t="s">
        <v>469</v>
      </c>
      <c r="P1" s="2" t="s">
        <v>465</v>
      </c>
      <c r="Q1" s="2" t="s">
        <v>466</v>
      </c>
      <c r="R1" s="2" t="s">
        <v>470</v>
      </c>
      <c r="S1" s="2" t="s">
        <v>471</v>
      </c>
      <c r="T1" s="2" t="s">
        <v>472</v>
      </c>
    </row>
    <row r="2" spans="1:20" x14ac:dyDescent="0.25">
      <c r="A2">
        <v>23605890</v>
      </c>
      <c r="B2" t="s">
        <v>319</v>
      </c>
      <c r="C2">
        <v>301</v>
      </c>
      <c r="D2">
        <f>C3</f>
        <v>91</v>
      </c>
      <c r="E2" t="str">
        <f>D3</f>
        <v>A1</v>
      </c>
      <c r="F2">
        <v>42</v>
      </c>
      <c r="G2">
        <f>F3</f>
        <v>92</v>
      </c>
      <c r="H2" t="str">
        <f>G3</f>
        <v>A1</v>
      </c>
      <c r="I2">
        <v>43</v>
      </c>
      <c r="J2">
        <f>I3</f>
        <v>87</v>
      </c>
      <c r="K2" t="str">
        <f>J3</f>
        <v>A2</v>
      </c>
      <c r="L2">
        <v>41</v>
      </c>
      <c r="M2">
        <f>L3</f>
        <v>73</v>
      </c>
      <c r="N2" t="str">
        <f>M3</f>
        <v>B1</v>
      </c>
      <c r="O2">
        <v>48</v>
      </c>
      <c r="P2">
        <f>O3</f>
        <v>95</v>
      </c>
      <c r="Q2" t="str">
        <f>P3</f>
        <v>A1</v>
      </c>
      <c r="R2" t="s">
        <v>307</v>
      </c>
    </row>
    <row r="3" spans="1:20" x14ac:dyDescent="0.25">
      <c r="C3">
        <v>91</v>
      </c>
      <c r="D3" t="s">
        <v>305</v>
      </c>
      <c r="F3">
        <v>92</v>
      </c>
      <c r="G3" t="s">
        <v>305</v>
      </c>
      <c r="I3">
        <v>87</v>
      </c>
      <c r="J3" t="s">
        <v>306</v>
      </c>
      <c r="L3">
        <v>73</v>
      </c>
      <c r="M3" t="s">
        <v>308</v>
      </c>
      <c r="O3">
        <v>95</v>
      </c>
      <c r="P3" t="s">
        <v>305</v>
      </c>
    </row>
    <row r="4" spans="1:20" x14ac:dyDescent="0.25">
      <c r="A4">
        <v>23605891</v>
      </c>
      <c r="B4" t="s">
        <v>320</v>
      </c>
      <c r="C4">
        <v>301</v>
      </c>
      <c r="D4">
        <f>C5</f>
        <v>94</v>
      </c>
      <c r="E4" t="str">
        <f>D5</f>
        <v>A1</v>
      </c>
      <c r="F4">
        <v>42</v>
      </c>
      <c r="G4">
        <f>F5</f>
        <v>75</v>
      </c>
      <c r="H4" t="str">
        <f>G5</f>
        <v>B1</v>
      </c>
      <c r="I4">
        <v>43</v>
      </c>
      <c r="J4">
        <f>I5</f>
        <v>68</v>
      </c>
      <c r="K4" t="str">
        <f>J5</f>
        <v>B2</v>
      </c>
      <c r="L4">
        <v>41</v>
      </c>
      <c r="M4">
        <f>L5</f>
        <v>67</v>
      </c>
      <c r="N4" t="str">
        <f>M5</f>
        <v>B1</v>
      </c>
      <c r="O4">
        <v>34</v>
      </c>
      <c r="P4">
        <f>O5</f>
        <v>98</v>
      </c>
      <c r="Q4" t="str">
        <f>P5</f>
        <v>A1</v>
      </c>
      <c r="R4" t="s">
        <v>307</v>
      </c>
    </row>
    <row r="5" spans="1:20" x14ac:dyDescent="0.25">
      <c r="C5">
        <v>94</v>
      </c>
      <c r="D5" t="s">
        <v>305</v>
      </c>
      <c r="F5">
        <v>75</v>
      </c>
      <c r="G5" t="s">
        <v>308</v>
      </c>
      <c r="I5">
        <v>68</v>
      </c>
      <c r="J5" t="s">
        <v>309</v>
      </c>
      <c r="L5">
        <v>67</v>
      </c>
      <c r="M5" t="s">
        <v>308</v>
      </c>
      <c r="O5">
        <v>98</v>
      </c>
      <c r="P5" t="s">
        <v>305</v>
      </c>
    </row>
    <row r="7" spans="1:20" x14ac:dyDescent="0.25">
      <c r="A7">
        <v>23605892</v>
      </c>
      <c r="B7" t="s">
        <v>321</v>
      </c>
      <c r="C7">
        <v>301</v>
      </c>
      <c r="D7">
        <f>C8</f>
        <v>88</v>
      </c>
      <c r="E7" t="str">
        <f>D8</f>
        <v>A2</v>
      </c>
      <c r="F7">
        <v>42</v>
      </c>
      <c r="G7">
        <f>F8</f>
        <v>77</v>
      </c>
      <c r="H7" t="str">
        <f>G8</f>
        <v>A2</v>
      </c>
      <c r="I7">
        <v>43</v>
      </c>
      <c r="J7">
        <f>I8</f>
        <v>92</v>
      </c>
      <c r="K7" t="str">
        <f>J8</f>
        <v>A1</v>
      </c>
      <c r="L7">
        <v>44</v>
      </c>
      <c r="M7">
        <f>L8</f>
        <v>91</v>
      </c>
      <c r="N7" t="str">
        <f>M8</f>
        <v>A1</v>
      </c>
      <c r="O7">
        <v>37</v>
      </c>
      <c r="P7">
        <f>O8</f>
        <v>94</v>
      </c>
      <c r="Q7" t="str">
        <f>P8</f>
        <v>A2</v>
      </c>
      <c r="R7" t="s">
        <v>307</v>
      </c>
    </row>
    <row r="8" spans="1:20" x14ac:dyDescent="0.25">
      <c r="C8">
        <v>88</v>
      </c>
      <c r="D8" t="s">
        <v>306</v>
      </c>
      <c r="F8">
        <v>77</v>
      </c>
      <c r="G8" t="s">
        <v>306</v>
      </c>
      <c r="I8">
        <v>92</v>
      </c>
      <c r="J8" t="s">
        <v>305</v>
      </c>
      <c r="L8">
        <v>91</v>
      </c>
      <c r="M8" t="s">
        <v>305</v>
      </c>
      <c r="O8">
        <v>94</v>
      </c>
      <c r="P8" t="s">
        <v>306</v>
      </c>
    </row>
    <row r="9" spans="1:20" x14ac:dyDescent="0.25">
      <c r="A9">
        <v>23605893</v>
      </c>
      <c r="B9" t="s">
        <v>322</v>
      </c>
      <c r="C9">
        <v>301</v>
      </c>
      <c r="D9">
        <f>C10</f>
        <v>87</v>
      </c>
      <c r="E9" t="str">
        <f>D10</f>
        <v>A2</v>
      </c>
      <c r="F9">
        <v>42</v>
      </c>
      <c r="G9">
        <f>F10</f>
        <v>94</v>
      </c>
      <c r="H9" t="str">
        <f>G10</f>
        <v>A1</v>
      </c>
      <c r="I9">
        <v>43</v>
      </c>
      <c r="J9">
        <f>I10</f>
        <v>88</v>
      </c>
      <c r="K9" t="str">
        <f>J10</f>
        <v>A2</v>
      </c>
      <c r="L9">
        <v>41</v>
      </c>
      <c r="M9">
        <f>L10</f>
        <v>74</v>
      </c>
      <c r="N9" t="str">
        <f>M10</f>
        <v>B1</v>
      </c>
      <c r="O9">
        <v>48</v>
      </c>
      <c r="P9">
        <f>O10</f>
        <v>99</v>
      </c>
      <c r="Q9" t="str">
        <f>P10</f>
        <v>A1</v>
      </c>
      <c r="R9" t="s">
        <v>307</v>
      </c>
    </row>
    <row r="10" spans="1:20" x14ac:dyDescent="0.25">
      <c r="C10">
        <v>87</v>
      </c>
      <c r="D10" t="s">
        <v>306</v>
      </c>
      <c r="F10">
        <v>94</v>
      </c>
      <c r="G10" t="s">
        <v>305</v>
      </c>
      <c r="I10">
        <v>88</v>
      </c>
      <c r="J10" t="s">
        <v>306</v>
      </c>
      <c r="L10">
        <v>74</v>
      </c>
      <c r="M10" t="s">
        <v>308</v>
      </c>
      <c r="O10">
        <v>99</v>
      </c>
      <c r="P10" t="s">
        <v>305</v>
      </c>
    </row>
    <row r="11" spans="1:20" x14ac:dyDescent="0.25">
      <c r="A11">
        <v>23605894</v>
      </c>
      <c r="B11" t="s">
        <v>323</v>
      </c>
      <c r="C11">
        <v>301</v>
      </c>
      <c r="D11">
        <f>C12</f>
        <v>94</v>
      </c>
      <c r="E11" t="str">
        <f>D12</f>
        <v>A1</v>
      </c>
      <c r="F11">
        <v>42</v>
      </c>
      <c r="G11">
        <f>F12</f>
        <v>88</v>
      </c>
      <c r="H11" t="str">
        <f>G12</f>
        <v>A1</v>
      </c>
      <c r="I11">
        <v>43</v>
      </c>
      <c r="J11">
        <f>I12</f>
        <v>93</v>
      </c>
      <c r="K11" t="str">
        <f>J12</f>
        <v>A1</v>
      </c>
      <c r="L11">
        <v>41</v>
      </c>
      <c r="M11">
        <f>L12</f>
        <v>94</v>
      </c>
      <c r="N11" t="str">
        <f>M12</f>
        <v>A1</v>
      </c>
      <c r="O11">
        <v>30</v>
      </c>
      <c r="P11">
        <f>O12</f>
        <v>92</v>
      </c>
      <c r="Q11" t="str">
        <f>P12</f>
        <v>A1</v>
      </c>
      <c r="R11" t="s">
        <v>307</v>
      </c>
    </row>
    <row r="12" spans="1:20" x14ac:dyDescent="0.25">
      <c r="C12">
        <v>94</v>
      </c>
      <c r="D12" t="s">
        <v>305</v>
      </c>
      <c r="F12">
        <v>88</v>
      </c>
      <c r="G12" t="s">
        <v>305</v>
      </c>
      <c r="I12">
        <v>93</v>
      </c>
      <c r="J12" t="s">
        <v>305</v>
      </c>
      <c r="L12">
        <v>94</v>
      </c>
      <c r="M12" t="s">
        <v>305</v>
      </c>
      <c r="O12">
        <v>92</v>
      </c>
      <c r="P12" t="s">
        <v>305</v>
      </c>
    </row>
    <row r="13" spans="1:20" x14ac:dyDescent="0.25">
      <c r="A13">
        <v>23605895</v>
      </c>
      <c r="B13" t="s">
        <v>324</v>
      </c>
      <c r="C13">
        <v>301</v>
      </c>
      <c r="D13">
        <f>C14</f>
        <v>95</v>
      </c>
      <c r="E13" t="str">
        <f>D14</f>
        <v>A1</v>
      </c>
      <c r="F13">
        <v>42</v>
      </c>
      <c r="G13">
        <f>F14</f>
        <v>91</v>
      </c>
      <c r="H13" t="str">
        <f>G14</f>
        <v>A1</v>
      </c>
      <c r="I13">
        <v>43</v>
      </c>
      <c r="J13">
        <f>I14</f>
        <v>93</v>
      </c>
      <c r="K13" t="str">
        <f>J14</f>
        <v>A1</v>
      </c>
      <c r="L13">
        <v>41</v>
      </c>
      <c r="M13">
        <f>L14</f>
        <v>95</v>
      </c>
      <c r="N13" t="str">
        <f>M14</f>
        <v>A1</v>
      </c>
      <c r="O13">
        <v>83</v>
      </c>
      <c r="P13">
        <f>O14</f>
        <v>97</v>
      </c>
      <c r="Q13" t="str">
        <f>P14</f>
        <v>A1</v>
      </c>
      <c r="R13" t="s">
        <v>307</v>
      </c>
    </row>
    <row r="14" spans="1:20" x14ac:dyDescent="0.25">
      <c r="C14">
        <v>95</v>
      </c>
      <c r="D14" t="s">
        <v>305</v>
      </c>
      <c r="F14">
        <v>91</v>
      </c>
      <c r="G14" t="s">
        <v>305</v>
      </c>
      <c r="I14">
        <v>93</v>
      </c>
      <c r="J14" t="s">
        <v>305</v>
      </c>
      <c r="L14">
        <v>95</v>
      </c>
      <c r="M14" t="s">
        <v>305</v>
      </c>
      <c r="O14">
        <v>97</v>
      </c>
      <c r="P14" t="s">
        <v>305</v>
      </c>
    </row>
    <row r="15" spans="1:20" x14ac:dyDescent="0.25">
      <c r="A15">
        <v>23605896</v>
      </c>
      <c r="B15" t="s">
        <v>325</v>
      </c>
      <c r="C15">
        <v>301</v>
      </c>
      <c r="D15">
        <f>C16</f>
        <v>81</v>
      </c>
      <c r="E15" t="str">
        <f>D16</f>
        <v>B1</v>
      </c>
      <c r="F15">
        <v>42</v>
      </c>
      <c r="G15">
        <f>F16</f>
        <v>89</v>
      </c>
      <c r="H15" t="str">
        <f>G16</f>
        <v>A1</v>
      </c>
      <c r="I15">
        <v>43</v>
      </c>
      <c r="J15">
        <f>I16</f>
        <v>85</v>
      </c>
      <c r="K15" t="str">
        <f>J16</f>
        <v>A2</v>
      </c>
      <c r="L15">
        <v>44</v>
      </c>
      <c r="M15">
        <f>L16</f>
        <v>94</v>
      </c>
      <c r="N15" t="str">
        <f>M16</f>
        <v>A1</v>
      </c>
      <c r="O15">
        <v>302</v>
      </c>
      <c r="P15">
        <f>O16</f>
        <v>94</v>
      </c>
      <c r="Q15" t="str">
        <f>P16</f>
        <v>A1</v>
      </c>
      <c r="R15" t="s">
        <v>307</v>
      </c>
    </row>
    <row r="16" spans="1:20" x14ac:dyDescent="0.25">
      <c r="C16">
        <v>81</v>
      </c>
      <c r="D16" t="s">
        <v>308</v>
      </c>
      <c r="F16">
        <v>89</v>
      </c>
      <c r="G16" t="s">
        <v>305</v>
      </c>
      <c r="I16">
        <v>85</v>
      </c>
      <c r="J16" t="s">
        <v>306</v>
      </c>
      <c r="L16">
        <v>94</v>
      </c>
      <c r="M16" t="s">
        <v>305</v>
      </c>
      <c r="O16">
        <v>94</v>
      </c>
      <c r="P16" t="s">
        <v>305</v>
      </c>
    </row>
    <row r="17" spans="1:18" x14ac:dyDescent="0.25">
      <c r="A17">
        <v>23605897</v>
      </c>
      <c r="B17" t="s">
        <v>326</v>
      </c>
      <c r="C17">
        <v>301</v>
      </c>
      <c r="D17">
        <f>C18</f>
        <v>94</v>
      </c>
      <c r="E17" t="str">
        <f>D18</f>
        <v>A1</v>
      </c>
      <c r="F17">
        <v>42</v>
      </c>
      <c r="G17">
        <f>F18</f>
        <v>68</v>
      </c>
      <c r="H17" t="str">
        <f>G18</f>
        <v>B2</v>
      </c>
      <c r="I17">
        <v>43</v>
      </c>
      <c r="J17">
        <f>I18</f>
        <v>52</v>
      </c>
      <c r="K17" t="str">
        <f>J18</f>
        <v>D2</v>
      </c>
      <c r="L17">
        <v>41</v>
      </c>
      <c r="M17">
        <f>L18</f>
        <v>27</v>
      </c>
      <c r="N17" t="str">
        <f>M18</f>
        <v>E</v>
      </c>
      <c r="O17">
        <v>34</v>
      </c>
      <c r="P17">
        <f>O18</f>
        <v>84</v>
      </c>
      <c r="Q17" t="str">
        <f>P18</f>
        <v>C2</v>
      </c>
      <c r="R17" t="s">
        <v>327</v>
      </c>
    </row>
    <row r="18" spans="1:18" x14ac:dyDescent="0.25">
      <c r="C18">
        <v>94</v>
      </c>
      <c r="D18" t="s">
        <v>305</v>
      </c>
      <c r="F18">
        <v>68</v>
      </c>
      <c r="G18" t="s">
        <v>309</v>
      </c>
      <c r="I18">
        <v>52</v>
      </c>
      <c r="J18" t="s">
        <v>310</v>
      </c>
      <c r="L18">
        <v>27</v>
      </c>
      <c r="M18" t="s">
        <v>311</v>
      </c>
      <c r="O18">
        <v>84</v>
      </c>
      <c r="P18" t="s">
        <v>312</v>
      </c>
    </row>
    <row r="19" spans="1:18" x14ac:dyDescent="0.25">
      <c r="A19">
        <v>23605898</v>
      </c>
      <c r="B19" t="s">
        <v>328</v>
      </c>
      <c r="C19">
        <v>301</v>
      </c>
      <c r="D19">
        <f>C20</f>
        <v>94</v>
      </c>
      <c r="E19" t="str">
        <f>D20</f>
        <v>A1</v>
      </c>
      <c r="F19">
        <v>42</v>
      </c>
      <c r="G19">
        <f>F20</f>
        <v>95</v>
      </c>
      <c r="H19" t="str">
        <f>G20</f>
        <v>A1</v>
      </c>
      <c r="I19">
        <v>43</v>
      </c>
      <c r="J19">
        <f>I20</f>
        <v>95</v>
      </c>
      <c r="K19" t="str">
        <f>J20</f>
        <v>A1</v>
      </c>
      <c r="L19">
        <v>44</v>
      </c>
      <c r="M19">
        <f>L20</f>
        <v>86</v>
      </c>
      <c r="N19" t="str">
        <f>M20</f>
        <v>A2</v>
      </c>
      <c r="O19">
        <v>37</v>
      </c>
      <c r="P19">
        <f>O20</f>
        <v>96</v>
      </c>
      <c r="Q19" t="str">
        <f>P20</f>
        <v>A1</v>
      </c>
      <c r="R19" t="s">
        <v>307</v>
      </c>
    </row>
    <row r="20" spans="1:18" x14ac:dyDescent="0.25">
      <c r="C20">
        <v>94</v>
      </c>
      <c r="D20" t="s">
        <v>305</v>
      </c>
      <c r="F20">
        <v>95</v>
      </c>
      <c r="G20" t="s">
        <v>305</v>
      </c>
      <c r="I20">
        <v>95</v>
      </c>
      <c r="J20" t="s">
        <v>305</v>
      </c>
      <c r="L20">
        <v>86</v>
      </c>
      <c r="M20" t="s">
        <v>306</v>
      </c>
      <c r="O20">
        <v>96</v>
      </c>
      <c r="P20" t="s">
        <v>305</v>
      </c>
    </row>
    <row r="21" spans="1:18" x14ac:dyDescent="0.25">
      <c r="A21">
        <v>23605899</v>
      </c>
      <c r="B21" t="s">
        <v>329</v>
      </c>
      <c r="C21">
        <v>301</v>
      </c>
      <c r="D21">
        <f>C22</f>
        <v>93</v>
      </c>
      <c r="E21" t="str">
        <f>D22</f>
        <v>A1</v>
      </c>
      <c r="F21">
        <v>42</v>
      </c>
      <c r="G21">
        <f>F22</f>
        <v>91</v>
      </c>
      <c r="H21" t="str">
        <f>G22</f>
        <v>A1</v>
      </c>
      <c r="I21">
        <v>43</v>
      </c>
      <c r="J21">
        <f>I22</f>
        <v>77</v>
      </c>
      <c r="K21" t="str">
        <f>J22</f>
        <v>B1</v>
      </c>
      <c r="L21">
        <v>41</v>
      </c>
      <c r="M21">
        <f>L22</f>
        <v>65</v>
      </c>
      <c r="N21" t="str">
        <f>M22</f>
        <v>B2</v>
      </c>
      <c r="O21">
        <v>36</v>
      </c>
      <c r="P21">
        <f>O22</f>
        <v>98</v>
      </c>
      <c r="Q21" t="str">
        <f>P22</f>
        <v>A1</v>
      </c>
      <c r="R21" t="s">
        <v>307</v>
      </c>
    </row>
    <row r="22" spans="1:18" x14ac:dyDescent="0.25">
      <c r="C22">
        <v>93</v>
      </c>
      <c r="D22" t="s">
        <v>305</v>
      </c>
      <c r="F22">
        <v>91</v>
      </c>
      <c r="G22" t="s">
        <v>305</v>
      </c>
      <c r="I22">
        <v>77</v>
      </c>
      <c r="J22" t="s">
        <v>308</v>
      </c>
      <c r="L22">
        <v>65</v>
      </c>
      <c r="M22" t="s">
        <v>309</v>
      </c>
      <c r="O22">
        <v>98</v>
      </c>
      <c r="P22" t="s">
        <v>305</v>
      </c>
    </row>
    <row r="23" spans="1:18" x14ac:dyDescent="0.25">
      <c r="A23">
        <v>23605900</v>
      </c>
      <c r="B23" t="s">
        <v>330</v>
      </c>
      <c r="C23">
        <v>301</v>
      </c>
      <c r="D23">
        <f>C24</f>
        <v>77</v>
      </c>
      <c r="E23" t="str">
        <f>D24</f>
        <v>B2</v>
      </c>
      <c r="F23">
        <v>42</v>
      </c>
      <c r="G23">
        <f>F24</f>
        <v>71</v>
      </c>
      <c r="H23" t="str">
        <f>G24</f>
        <v>B1</v>
      </c>
      <c r="I23">
        <v>43</v>
      </c>
      <c r="J23">
        <f>I24</f>
        <v>60</v>
      </c>
      <c r="K23" t="str">
        <f>J24</f>
        <v>C2</v>
      </c>
      <c r="L23">
        <v>41</v>
      </c>
      <c r="M23">
        <f>L24</f>
        <v>66</v>
      </c>
      <c r="N23" t="str">
        <f>M24</f>
        <v>B2</v>
      </c>
      <c r="O23">
        <v>36</v>
      </c>
      <c r="P23">
        <f>O24</f>
        <v>93</v>
      </c>
      <c r="Q23" t="str">
        <f>P24</f>
        <v>B1</v>
      </c>
      <c r="R23" t="s">
        <v>307</v>
      </c>
    </row>
    <row r="24" spans="1:18" x14ac:dyDescent="0.25">
      <c r="C24">
        <v>77</v>
      </c>
      <c r="D24" t="s">
        <v>309</v>
      </c>
      <c r="F24">
        <v>71</v>
      </c>
      <c r="G24" t="s">
        <v>308</v>
      </c>
      <c r="I24">
        <v>60</v>
      </c>
      <c r="J24" t="s">
        <v>312</v>
      </c>
      <c r="L24">
        <v>66</v>
      </c>
      <c r="M24" t="s">
        <v>309</v>
      </c>
      <c r="O24">
        <v>93</v>
      </c>
      <c r="P24" t="s">
        <v>308</v>
      </c>
    </row>
    <row r="25" spans="1:18" x14ac:dyDescent="0.25">
      <c r="A25">
        <v>23605901</v>
      </c>
      <c r="B25" t="s">
        <v>331</v>
      </c>
      <c r="C25">
        <v>301</v>
      </c>
      <c r="D25">
        <f>C26</f>
        <v>87</v>
      </c>
      <c r="E25" t="str">
        <f>D26</f>
        <v>A2</v>
      </c>
      <c r="F25">
        <v>42</v>
      </c>
      <c r="G25">
        <f>F26</f>
        <v>62</v>
      </c>
      <c r="H25" t="str">
        <f>G26</f>
        <v>C1</v>
      </c>
      <c r="I25">
        <v>43</v>
      </c>
      <c r="J25">
        <f>I26</f>
        <v>53</v>
      </c>
      <c r="K25" t="str">
        <f>J26</f>
        <v>D1</v>
      </c>
      <c r="L25">
        <v>41</v>
      </c>
      <c r="M25">
        <f>L26</f>
        <v>29</v>
      </c>
      <c r="N25" t="str">
        <f>M26</f>
        <v>E</v>
      </c>
      <c r="O25">
        <v>83</v>
      </c>
      <c r="P25">
        <f>O26</f>
        <v>60</v>
      </c>
      <c r="Q25" t="str">
        <f>P26</f>
        <v>D1</v>
      </c>
      <c r="R25" t="s">
        <v>327</v>
      </c>
    </row>
    <row r="26" spans="1:18" x14ac:dyDescent="0.25">
      <c r="C26">
        <v>87</v>
      </c>
      <c r="D26" t="s">
        <v>306</v>
      </c>
      <c r="F26">
        <v>62</v>
      </c>
      <c r="G26" t="s">
        <v>313</v>
      </c>
      <c r="I26">
        <v>53</v>
      </c>
      <c r="J26" t="s">
        <v>314</v>
      </c>
      <c r="L26">
        <v>29</v>
      </c>
      <c r="M26" t="s">
        <v>311</v>
      </c>
      <c r="O26">
        <v>60</v>
      </c>
      <c r="P26" t="s">
        <v>314</v>
      </c>
    </row>
    <row r="27" spans="1:18" x14ac:dyDescent="0.25">
      <c r="D27">
        <f>C28</f>
        <v>301</v>
      </c>
      <c r="E27">
        <f>D28</f>
        <v>97</v>
      </c>
    </row>
    <row r="28" spans="1:18" x14ac:dyDescent="0.25">
      <c r="A28">
        <v>23605902</v>
      </c>
      <c r="B28" t="s">
        <v>332</v>
      </c>
      <c r="C28">
        <v>301</v>
      </c>
      <c r="D28">
        <f>C29</f>
        <v>97</v>
      </c>
      <c r="E28" t="str">
        <f>D29</f>
        <v>A1</v>
      </c>
      <c r="F28">
        <v>42</v>
      </c>
      <c r="G28">
        <f>F29</f>
        <v>77</v>
      </c>
      <c r="H28" t="str">
        <f>G29</f>
        <v>A2</v>
      </c>
      <c r="I28">
        <v>43</v>
      </c>
      <c r="J28">
        <f>I29</f>
        <v>95</v>
      </c>
      <c r="K28" t="str">
        <f>J29</f>
        <v>A1</v>
      </c>
      <c r="L28">
        <v>44</v>
      </c>
      <c r="M28">
        <f>L29</f>
        <v>95</v>
      </c>
      <c r="N28" t="str">
        <f>M29</f>
        <v>A1</v>
      </c>
      <c r="O28">
        <v>49</v>
      </c>
      <c r="P28">
        <f>O29</f>
        <v>98</v>
      </c>
      <c r="Q28" t="str">
        <f>P29</f>
        <v>A1</v>
      </c>
      <c r="R28" t="s">
        <v>307</v>
      </c>
    </row>
    <row r="29" spans="1:18" x14ac:dyDescent="0.25">
      <c r="C29">
        <v>97</v>
      </c>
      <c r="D29" t="s">
        <v>305</v>
      </c>
      <c r="F29">
        <v>77</v>
      </c>
      <c r="G29" t="s">
        <v>306</v>
      </c>
      <c r="I29">
        <v>95</v>
      </c>
      <c r="J29" t="s">
        <v>305</v>
      </c>
      <c r="L29">
        <v>95</v>
      </c>
      <c r="M29" t="s">
        <v>305</v>
      </c>
      <c r="O29">
        <v>98</v>
      </c>
      <c r="P29" t="s">
        <v>305</v>
      </c>
    </row>
    <row r="30" spans="1:18" x14ac:dyDescent="0.25">
      <c r="A30">
        <v>23605903</v>
      </c>
      <c r="B30" t="s">
        <v>333</v>
      </c>
      <c r="C30">
        <v>301</v>
      </c>
      <c r="D30">
        <f>C31</f>
        <v>85</v>
      </c>
      <c r="E30" t="str">
        <f>D31</f>
        <v>B1</v>
      </c>
      <c r="F30">
        <v>42</v>
      </c>
      <c r="G30">
        <f>F31</f>
        <v>71</v>
      </c>
      <c r="H30" t="str">
        <f>G31</f>
        <v>B1</v>
      </c>
      <c r="I30">
        <v>43</v>
      </c>
      <c r="J30">
        <f>I31</f>
        <v>67</v>
      </c>
      <c r="K30" t="str">
        <f>J31</f>
        <v>B2</v>
      </c>
      <c r="L30">
        <v>44</v>
      </c>
      <c r="M30">
        <f>L31</f>
        <v>93</v>
      </c>
      <c r="N30" t="str">
        <f>M31</f>
        <v>A1</v>
      </c>
      <c r="O30">
        <v>302</v>
      </c>
      <c r="P30">
        <f>O31</f>
        <v>81</v>
      </c>
      <c r="Q30" t="str">
        <f>P31</f>
        <v>B1</v>
      </c>
      <c r="R30" t="s">
        <v>307</v>
      </c>
    </row>
    <row r="31" spans="1:18" x14ac:dyDescent="0.25">
      <c r="C31">
        <v>85</v>
      </c>
      <c r="D31" t="s">
        <v>308</v>
      </c>
      <c r="F31">
        <v>71</v>
      </c>
      <c r="G31" t="s">
        <v>308</v>
      </c>
      <c r="I31">
        <v>67</v>
      </c>
      <c r="J31" t="s">
        <v>309</v>
      </c>
      <c r="L31">
        <v>93</v>
      </c>
      <c r="M31" t="s">
        <v>305</v>
      </c>
      <c r="O31">
        <v>81</v>
      </c>
      <c r="P31" t="s">
        <v>308</v>
      </c>
    </row>
    <row r="32" spans="1:18" x14ac:dyDescent="0.25">
      <c r="A32">
        <v>23605904</v>
      </c>
      <c r="B32" t="s">
        <v>334</v>
      </c>
      <c r="C32">
        <v>301</v>
      </c>
      <c r="D32">
        <f>C33</f>
        <v>81</v>
      </c>
      <c r="E32" t="str">
        <f>D33</f>
        <v>B1</v>
      </c>
      <c r="F32">
        <v>42</v>
      </c>
      <c r="G32">
        <f>F33</f>
        <v>72</v>
      </c>
      <c r="H32" t="str">
        <f>G33</f>
        <v>B1</v>
      </c>
      <c r="I32">
        <v>43</v>
      </c>
      <c r="J32">
        <f>I33</f>
        <v>74</v>
      </c>
      <c r="K32" t="str">
        <f>J33</f>
        <v>B1</v>
      </c>
      <c r="L32">
        <v>41</v>
      </c>
      <c r="M32">
        <f>L33</f>
        <v>65</v>
      </c>
      <c r="N32" t="str">
        <f>M33</f>
        <v>B2</v>
      </c>
      <c r="O32">
        <v>48</v>
      </c>
      <c r="P32">
        <f>O33</f>
        <v>89</v>
      </c>
      <c r="Q32" t="str">
        <f>P33</f>
        <v>A2</v>
      </c>
      <c r="R32" t="s">
        <v>307</v>
      </c>
    </row>
    <row r="33" spans="1:18" x14ac:dyDescent="0.25">
      <c r="C33">
        <v>81</v>
      </c>
      <c r="D33" t="s">
        <v>308</v>
      </c>
      <c r="F33">
        <v>72</v>
      </c>
      <c r="G33" t="s">
        <v>308</v>
      </c>
      <c r="I33">
        <v>74</v>
      </c>
      <c r="J33" t="s">
        <v>308</v>
      </c>
      <c r="L33">
        <v>65</v>
      </c>
      <c r="M33" t="s">
        <v>309</v>
      </c>
      <c r="O33">
        <v>89</v>
      </c>
      <c r="P33" t="s">
        <v>306</v>
      </c>
    </row>
    <row r="34" spans="1:18" x14ac:dyDescent="0.25">
      <c r="A34">
        <v>23605905</v>
      </c>
      <c r="B34" t="s">
        <v>335</v>
      </c>
      <c r="C34">
        <v>301</v>
      </c>
      <c r="D34">
        <f>C35</f>
        <v>92</v>
      </c>
      <c r="E34" t="str">
        <f>D35</f>
        <v>A1</v>
      </c>
      <c r="F34">
        <v>42</v>
      </c>
      <c r="G34">
        <f>F35</f>
        <v>91</v>
      </c>
      <c r="H34" t="str">
        <f>G35</f>
        <v>A1</v>
      </c>
      <c r="I34">
        <v>43</v>
      </c>
      <c r="J34">
        <f>I35</f>
        <v>83</v>
      </c>
      <c r="K34" t="str">
        <f>J35</f>
        <v>A2</v>
      </c>
      <c r="L34">
        <v>41</v>
      </c>
      <c r="M34">
        <f>L35</f>
        <v>62</v>
      </c>
      <c r="N34" t="str">
        <f>M35</f>
        <v>B2</v>
      </c>
      <c r="O34">
        <v>83</v>
      </c>
      <c r="P34">
        <f>O35</f>
        <v>83</v>
      </c>
      <c r="Q34" t="str">
        <f>P35</f>
        <v>B1</v>
      </c>
      <c r="R34" t="s">
        <v>307</v>
      </c>
    </row>
    <row r="35" spans="1:18" x14ac:dyDescent="0.25">
      <c r="C35">
        <v>92</v>
      </c>
      <c r="D35" t="s">
        <v>305</v>
      </c>
      <c r="F35">
        <v>91</v>
      </c>
      <c r="G35" t="s">
        <v>305</v>
      </c>
      <c r="I35">
        <v>83</v>
      </c>
      <c r="J35" t="s">
        <v>306</v>
      </c>
      <c r="L35">
        <v>62</v>
      </c>
      <c r="M35" t="s">
        <v>309</v>
      </c>
      <c r="O35">
        <v>83</v>
      </c>
      <c r="P35" t="s">
        <v>308</v>
      </c>
    </row>
    <row r="36" spans="1:18" x14ac:dyDescent="0.25">
      <c r="A36">
        <v>23605906</v>
      </c>
      <c r="B36" t="s">
        <v>336</v>
      </c>
      <c r="C36">
        <v>301</v>
      </c>
      <c r="D36">
        <f>C37</f>
        <v>86</v>
      </c>
      <c r="E36" t="str">
        <f>D37</f>
        <v>A2</v>
      </c>
      <c r="F36">
        <v>42</v>
      </c>
      <c r="G36">
        <f>F37</f>
        <v>67</v>
      </c>
      <c r="H36" t="str">
        <f>G37</f>
        <v>B2</v>
      </c>
      <c r="I36">
        <v>43</v>
      </c>
      <c r="J36">
        <f>I37</f>
        <v>72</v>
      </c>
      <c r="K36" t="str">
        <f>J37</f>
        <v>B1</v>
      </c>
      <c r="L36">
        <v>44</v>
      </c>
      <c r="M36">
        <f>L37</f>
        <v>90</v>
      </c>
      <c r="N36" t="str">
        <f>M37</f>
        <v>A2</v>
      </c>
      <c r="O36">
        <v>302</v>
      </c>
      <c r="P36">
        <f>O37</f>
        <v>94</v>
      </c>
      <c r="Q36" t="str">
        <f>P37</f>
        <v>A1</v>
      </c>
      <c r="R36" t="s">
        <v>307</v>
      </c>
    </row>
    <row r="37" spans="1:18" x14ac:dyDescent="0.25">
      <c r="C37">
        <v>86</v>
      </c>
      <c r="D37" t="s">
        <v>306</v>
      </c>
      <c r="F37">
        <v>67</v>
      </c>
      <c r="G37" t="s">
        <v>309</v>
      </c>
      <c r="I37">
        <v>72</v>
      </c>
      <c r="J37" t="s">
        <v>308</v>
      </c>
      <c r="L37">
        <v>90</v>
      </c>
      <c r="M37" t="s">
        <v>306</v>
      </c>
      <c r="O37">
        <v>94</v>
      </c>
      <c r="P37" t="s">
        <v>305</v>
      </c>
    </row>
    <row r="38" spans="1:18" x14ac:dyDescent="0.25">
      <c r="A38">
        <v>23605907</v>
      </c>
      <c r="B38" t="s">
        <v>337</v>
      </c>
      <c r="C38">
        <v>301</v>
      </c>
      <c r="D38">
        <f>C39</f>
        <v>95</v>
      </c>
      <c r="E38" t="str">
        <f>D39</f>
        <v>A1</v>
      </c>
      <c r="F38">
        <v>42</v>
      </c>
      <c r="G38">
        <f>F39</f>
        <v>72</v>
      </c>
      <c r="H38" t="str">
        <f>G39</f>
        <v>B1</v>
      </c>
      <c r="I38">
        <v>43</v>
      </c>
      <c r="J38">
        <f>I39</f>
        <v>79</v>
      </c>
      <c r="K38" t="str">
        <f>J39</f>
        <v>B1</v>
      </c>
      <c r="L38">
        <v>44</v>
      </c>
      <c r="M38">
        <f>L39</f>
        <v>94</v>
      </c>
      <c r="N38" t="str">
        <f>M39</f>
        <v>A1</v>
      </c>
      <c r="O38">
        <v>302</v>
      </c>
      <c r="P38">
        <f>O39</f>
        <v>90</v>
      </c>
      <c r="Q38" t="str">
        <f>P39</f>
        <v>A1</v>
      </c>
      <c r="R38" t="s">
        <v>307</v>
      </c>
    </row>
    <row r="39" spans="1:18" x14ac:dyDescent="0.25">
      <c r="C39">
        <v>95</v>
      </c>
      <c r="D39" t="s">
        <v>305</v>
      </c>
      <c r="F39">
        <v>72</v>
      </c>
      <c r="G39" t="s">
        <v>308</v>
      </c>
      <c r="I39">
        <v>79</v>
      </c>
      <c r="J39" t="s">
        <v>308</v>
      </c>
      <c r="L39">
        <v>94</v>
      </c>
      <c r="M39" t="s">
        <v>305</v>
      </c>
      <c r="O39">
        <v>90</v>
      </c>
      <c r="P39" t="s">
        <v>305</v>
      </c>
    </row>
    <row r="40" spans="1:18" x14ac:dyDescent="0.25">
      <c r="A40">
        <v>23605908</v>
      </c>
      <c r="B40" t="s">
        <v>338</v>
      </c>
      <c r="C40">
        <v>301</v>
      </c>
      <c r="D40">
        <f>C41</f>
        <v>83</v>
      </c>
      <c r="E40" t="str">
        <f>D41</f>
        <v>B1</v>
      </c>
      <c r="F40">
        <v>42</v>
      </c>
      <c r="G40">
        <f>F41</f>
        <v>79</v>
      </c>
      <c r="H40" t="str">
        <f>G41</f>
        <v>A2</v>
      </c>
      <c r="I40">
        <v>43</v>
      </c>
      <c r="J40">
        <f>I41</f>
        <v>74</v>
      </c>
      <c r="K40" t="str">
        <f>J41</f>
        <v>B1</v>
      </c>
      <c r="L40">
        <v>41</v>
      </c>
      <c r="M40">
        <f>L41</f>
        <v>66</v>
      </c>
      <c r="N40" t="str">
        <f>M41</f>
        <v>B2</v>
      </c>
      <c r="O40">
        <v>36</v>
      </c>
      <c r="P40">
        <f>O41</f>
        <v>97</v>
      </c>
      <c r="Q40" t="str">
        <f>P41</f>
        <v>A2</v>
      </c>
      <c r="R40" t="s">
        <v>307</v>
      </c>
    </row>
    <row r="41" spans="1:18" x14ac:dyDescent="0.25">
      <c r="C41">
        <v>83</v>
      </c>
      <c r="D41" t="s">
        <v>308</v>
      </c>
      <c r="F41">
        <v>79</v>
      </c>
      <c r="G41" t="s">
        <v>306</v>
      </c>
      <c r="I41">
        <v>74</v>
      </c>
      <c r="J41" t="s">
        <v>308</v>
      </c>
      <c r="L41">
        <v>66</v>
      </c>
      <c r="M41" t="s">
        <v>309</v>
      </c>
      <c r="O41">
        <v>97</v>
      </c>
      <c r="P41" t="s">
        <v>306</v>
      </c>
    </row>
    <row r="42" spans="1:18" x14ac:dyDescent="0.25">
      <c r="A42">
        <v>23605909</v>
      </c>
      <c r="B42" t="s">
        <v>339</v>
      </c>
      <c r="C42">
        <v>301</v>
      </c>
      <c r="D42">
        <f>C43</f>
        <v>93</v>
      </c>
      <c r="E42" t="str">
        <f>D43</f>
        <v>A1</v>
      </c>
      <c r="F42">
        <v>42</v>
      </c>
      <c r="G42">
        <f>F43</f>
        <v>93</v>
      </c>
      <c r="H42" t="str">
        <f>G43</f>
        <v>A1</v>
      </c>
      <c r="I42">
        <v>43</v>
      </c>
      <c r="J42">
        <f>I43</f>
        <v>89</v>
      </c>
      <c r="K42" t="str">
        <f>J43</f>
        <v>A2</v>
      </c>
      <c r="L42">
        <v>44</v>
      </c>
      <c r="M42">
        <f>L43</f>
        <v>94</v>
      </c>
      <c r="N42" t="str">
        <f>M43</f>
        <v>A1</v>
      </c>
      <c r="O42">
        <v>37</v>
      </c>
      <c r="P42">
        <f>O43</f>
        <v>83</v>
      </c>
      <c r="Q42" t="str">
        <f>P43</f>
        <v>B1</v>
      </c>
      <c r="R42" t="s">
        <v>307</v>
      </c>
    </row>
    <row r="43" spans="1:18" x14ac:dyDescent="0.25">
      <c r="C43">
        <v>93</v>
      </c>
      <c r="D43" t="s">
        <v>305</v>
      </c>
      <c r="F43">
        <v>93</v>
      </c>
      <c r="G43" t="s">
        <v>305</v>
      </c>
      <c r="I43">
        <v>89</v>
      </c>
      <c r="J43" t="s">
        <v>306</v>
      </c>
      <c r="L43">
        <v>94</v>
      </c>
      <c r="M43" t="s">
        <v>305</v>
      </c>
      <c r="O43">
        <v>83</v>
      </c>
      <c r="P43" t="s">
        <v>308</v>
      </c>
    </row>
    <row r="44" spans="1:18" x14ac:dyDescent="0.25">
      <c r="A44">
        <v>23605910</v>
      </c>
      <c r="B44" t="s">
        <v>340</v>
      </c>
      <c r="C44">
        <v>301</v>
      </c>
      <c r="D44">
        <f>C45</f>
        <v>94</v>
      </c>
      <c r="E44" t="str">
        <f>D45</f>
        <v>A1</v>
      </c>
      <c r="F44">
        <v>42</v>
      </c>
      <c r="G44">
        <f>F45</f>
        <v>87</v>
      </c>
      <c r="H44" t="str">
        <f>G45</f>
        <v>A1</v>
      </c>
      <c r="I44">
        <v>43</v>
      </c>
      <c r="J44">
        <f>I45</f>
        <v>98</v>
      </c>
      <c r="K44" t="str">
        <f>J45</f>
        <v>A1</v>
      </c>
      <c r="L44">
        <v>41</v>
      </c>
      <c r="M44">
        <f>L45</f>
        <v>95</v>
      </c>
      <c r="N44" t="str">
        <f>M45</f>
        <v>A1</v>
      </c>
      <c r="O44">
        <v>30</v>
      </c>
      <c r="P44">
        <f>O45</f>
        <v>98</v>
      </c>
      <c r="Q44" t="str">
        <f>P45</f>
        <v>A1</v>
      </c>
      <c r="R44" t="s">
        <v>307</v>
      </c>
    </row>
    <row r="45" spans="1:18" x14ac:dyDescent="0.25">
      <c r="C45">
        <v>94</v>
      </c>
      <c r="D45" t="s">
        <v>305</v>
      </c>
      <c r="F45">
        <v>87</v>
      </c>
      <c r="G45" t="s">
        <v>305</v>
      </c>
      <c r="I45">
        <v>98</v>
      </c>
      <c r="J45" t="s">
        <v>305</v>
      </c>
      <c r="L45">
        <v>95</v>
      </c>
      <c r="M45" t="s">
        <v>305</v>
      </c>
      <c r="O45">
        <v>98</v>
      </c>
      <c r="P45" t="s">
        <v>305</v>
      </c>
    </row>
    <row r="46" spans="1:18" x14ac:dyDescent="0.25">
      <c r="A46">
        <v>23605911</v>
      </c>
      <c r="B46" t="s">
        <v>341</v>
      </c>
      <c r="C46">
        <v>301</v>
      </c>
      <c r="D46">
        <f>C47</f>
        <v>94</v>
      </c>
      <c r="E46" t="str">
        <f>D47</f>
        <v>A1</v>
      </c>
      <c r="F46">
        <v>42</v>
      </c>
      <c r="G46">
        <f>F47</f>
        <v>72</v>
      </c>
      <c r="H46" t="str">
        <f>G47</f>
        <v>B1</v>
      </c>
      <c r="I46">
        <v>43</v>
      </c>
      <c r="J46">
        <f>I47</f>
        <v>83</v>
      </c>
      <c r="K46" t="str">
        <f>J47</f>
        <v>A2</v>
      </c>
      <c r="L46">
        <v>44</v>
      </c>
      <c r="M46">
        <f>L47</f>
        <v>95</v>
      </c>
      <c r="N46" t="str">
        <f>M47</f>
        <v>A1</v>
      </c>
      <c r="O46">
        <v>37</v>
      </c>
      <c r="P46">
        <f>O47</f>
        <v>94</v>
      </c>
      <c r="Q46" t="str">
        <f>P47</f>
        <v>A2</v>
      </c>
      <c r="R46" t="s">
        <v>307</v>
      </c>
    </row>
    <row r="47" spans="1:18" x14ac:dyDescent="0.25">
      <c r="C47">
        <v>94</v>
      </c>
      <c r="D47" t="s">
        <v>305</v>
      </c>
      <c r="F47">
        <v>72</v>
      </c>
      <c r="G47" t="s">
        <v>308</v>
      </c>
      <c r="I47">
        <v>83</v>
      </c>
      <c r="J47" t="s">
        <v>306</v>
      </c>
      <c r="L47">
        <v>95</v>
      </c>
      <c r="M47" t="s">
        <v>305</v>
      </c>
      <c r="O47">
        <v>94</v>
      </c>
      <c r="P47" t="s">
        <v>306</v>
      </c>
    </row>
    <row r="48" spans="1:18" x14ac:dyDescent="0.25">
      <c r="D48">
        <f>C49</f>
        <v>301</v>
      </c>
      <c r="E48">
        <f>D49</f>
        <v>87</v>
      </c>
      <c r="J48">
        <f>I49</f>
        <v>43</v>
      </c>
      <c r="K48">
        <f>J49</f>
        <v>75</v>
      </c>
      <c r="M48">
        <f>L49</f>
        <v>41</v>
      </c>
      <c r="N48">
        <f>M49</f>
        <v>68</v>
      </c>
    </row>
    <row r="49" spans="1:18" x14ac:dyDescent="0.25">
      <c r="A49">
        <v>23605912</v>
      </c>
      <c r="B49" t="s">
        <v>315</v>
      </c>
      <c r="C49">
        <v>301</v>
      </c>
      <c r="D49">
        <f>C50</f>
        <v>87</v>
      </c>
      <c r="E49" t="str">
        <f>D50</f>
        <v>A2</v>
      </c>
      <c r="F49">
        <v>42</v>
      </c>
      <c r="G49">
        <f>F50</f>
        <v>80</v>
      </c>
      <c r="H49" t="str">
        <f>G50</f>
        <v>A2</v>
      </c>
      <c r="I49">
        <v>43</v>
      </c>
      <c r="J49">
        <f>I50</f>
        <v>75</v>
      </c>
      <c r="K49" t="str">
        <f>J50</f>
        <v>B1</v>
      </c>
      <c r="L49">
        <v>41</v>
      </c>
      <c r="M49">
        <f>L50</f>
        <v>68</v>
      </c>
      <c r="N49" t="str">
        <f>M50</f>
        <v>B1</v>
      </c>
      <c r="O49">
        <v>36</v>
      </c>
      <c r="P49">
        <f>O50</f>
        <v>86</v>
      </c>
      <c r="Q49" t="str">
        <f>P50</f>
        <v>C2</v>
      </c>
      <c r="R49" t="s">
        <v>307</v>
      </c>
    </row>
    <row r="50" spans="1:18" x14ac:dyDescent="0.25">
      <c r="C50">
        <v>87</v>
      </c>
      <c r="D50" t="s">
        <v>306</v>
      </c>
      <c r="F50">
        <v>80</v>
      </c>
      <c r="G50" t="s">
        <v>306</v>
      </c>
      <c r="I50">
        <v>75</v>
      </c>
      <c r="J50" t="s">
        <v>308</v>
      </c>
      <c r="L50">
        <v>68</v>
      </c>
      <c r="M50" t="s">
        <v>308</v>
      </c>
      <c r="O50">
        <v>86</v>
      </c>
      <c r="P50" t="s">
        <v>312</v>
      </c>
    </row>
    <row r="51" spans="1:18" x14ac:dyDescent="0.25">
      <c r="A51">
        <v>23605913</v>
      </c>
      <c r="B51" t="s">
        <v>342</v>
      </c>
      <c r="C51">
        <v>301</v>
      </c>
      <c r="D51">
        <f>C52</f>
        <v>89</v>
      </c>
      <c r="E51" t="str">
        <f>D52</f>
        <v>A2</v>
      </c>
      <c r="F51">
        <v>42</v>
      </c>
      <c r="G51">
        <f>F52</f>
        <v>88</v>
      </c>
      <c r="H51" t="str">
        <f>G52</f>
        <v>A1</v>
      </c>
      <c r="I51">
        <v>43</v>
      </c>
      <c r="J51">
        <f>I52</f>
        <v>95</v>
      </c>
      <c r="K51" t="str">
        <f>J52</f>
        <v>A1</v>
      </c>
      <c r="L51">
        <v>41</v>
      </c>
      <c r="M51">
        <f>L52</f>
        <v>84</v>
      </c>
      <c r="N51" t="str">
        <f>M52</f>
        <v>A2</v>
      </c>
      <c r="O51">
        <v>48</v>
      </c>
      <c r="P51">
        <f>O52</f>
        <v>98</v>
      </c>
      <c r="Q51" t="str">
        <f>P52</f>
        <v>A1</v>
      </c>
      <c r="R51" t="s">
        <v>307</v>
      </c>
    </row>
    <row r="52" spans="1:18" x14ac:dyDescent="0.25">
      <c r="C52">
        <v>89</v>
      </c>
      <c r="D52" t="s">
        <v>306</v>
      </c>
      <c r="F52">
        <v>88</v>
      </c>
      <c r="G52" t="s">
        <v>305</v>
      </c>
      <c r="I52">
        <v>95</v>
      </c>
      <c r="J52" t="s">
        <v>305</v>
      </c>
      <c r="L52">
        <v>84</v>
      </c>
      <c r="M52" t="s">
        <v>306</v>
      </c>
      <c r="O52">
        <v>98</v>
      </c>
      <c r="P52" t="s">
        <v>305</v>
      </c>
    </row>
    <row r="53" spans="1:18" x14ac:dyDescent="0.25">
      <c r="A53">
        <v>23605914</v>
      </c>
      <c r="B53" t="s">
        <v>343</v>
      </c>
      <c r="C53">
        <v>301</v>
      </c>
      <c r="D53">
        <f>C54</f>
        <v>70</v>
      </c>
      <c r="E53" t="str">
        <f>D54</f>
        <v>C1</v>
      </c>
      <c r="F53">
        <v>42</v>
      </c>
      <c r="G53">
        <f>F54</f>
        <v>55</v>
      </c>
      <c r="H53" t="str">
        <f>G54</f>
        <v>D1</v>
      </c>
      <c r="I53">
        <v>43</v>
      </c>
      <c r="J53">
        <f>I54</f>
        <v>61</v>
      </c>
      <c r="K53" t="str">
        <f>J54</f>
        <v>C1</v>
      </c>
      <c r="L53">
        <v>41</v>
      </c>
      <c r="M53">
        <f>L54</f>
        <v>44</v>
      </c>
      <c r="N53" t="str">
        <f>M54</f>
        <v>D2</v>
      </c>
      <c r="O53">
        <v>48</v>
      </c>
      <c r="P53">
        <f>O54</f>
        <v>87</v>
      </c>
      <c r="Q53" t="str">
        <f>P54</f>
        <v>A2</v>
      </c>
      <c r="R53" t="s">
        <v>307</v>
      </c>
    </row>
    <row r="54" spans="1:18" x14ac:dyDescent="0.25">
      <c r="C54">
        <v>70</v>
      </c>
      <c r="D54" t="s">
        <v>313</v>
      </c>
      <c r="F54">
        <v>55</v>
      </c>
      <c r="G54" t="s">
        <v>314</v>
      </c>
      <c r="I54">
        <v>61</v>
      </c>
      <c r="J54" t="s">
        <v>313</v>
      </c>
      <c r="L54">
        <v>44</v>
      </c>
      <c r="M54" t="s">
        <v>310</v>
      </c>
      <c r="O54">
        <v>87</v>
      </c>
      <c r="P54" t="s">
        <v>306</v>
      </c>
    </row>
    <row r="55" spans="1:18" x14ac:dyDescent="0.25">
      <c r="A55">
        <v>23605915</v>
      </c>
      <c r="B55" t="s">
        <v>344</v>
      </c>
      <c r="C55">
        <v>301</v>
      </c>
      <c r="D55">
        <f>C56</f>
        <v>97</v>
      </c>
      <c r="E55" t="str">
        <f>D56</f>
        <v>A1</v>
      </c>
      <c r="F55">
        <v>42</v>
      </c>
      <c r="G55">
        <f>F56</f>
        <v>95</v>
      </c>
      <c r="H55" t="str">
        <f>G56</f>
        <v>A1</v>
      </c>
      <c r="I55">
        <v>43</v>
      </c>
      <c r="J55">
        <f>I56</f>
        <v>95</v>
      </c>
      <c r="K55" t="str">
        <f>J56</f>
        <v>A1</v>
      </c>
      <c r="L55">
        <v>41</v>
      </c>
      <c r="M55">
        <f>L56</f>
        <v>92</v>
      </c>
      <c r="N55" t="str">
        <f>M56</f>
        <v>A1</v>
      </c>
      <c r="O55">
        <v>83</v>
      </c>
      <c r="P55">
        <f>O56</f>
        <v>82</v>
      </c>
      <c r="Q55" t="str">
        <f>P56</f>
        <v>B2</v>
      </c>
      <c r="R55" t="s">
        <v>307</v>
      </c>
    </row>
    <row r="56" spans="1:18" x14ac:dyDescent="0.25">
      <c r="C56">
        <v>97</v>
      </c>
      <c r="D56" t="s">
        <v>305</v>
      </c>
      <c r="F56">
        <v>95</v>
      </c>
      <c r="G56" t="s">
        <v>305</v>
      </c>
      <c r="I56">
        <v>95</v>
      </c>
      <c r="J56" t="s">
        <v>305</v>
      </c>
      <c r="L56">
        <v>92</v>
      </c>
      <c r="M56" t="s">
        <v>305</v>
      </c>
      <c r="O56">
        <v>82</v>
      </c>
      <c r="P56" t="s">
        <v>309</v>
      </c>
    </row>
    <row r="57" spans="1:18" x14ac:dyDescent="0.25">
      <c r="A57">
        <v>23605916</v>
      </c>
      <c r="B57" t="s">
        <v>345</v>
      </c>
      <c r="C57">
        <v>301</v>
      </c>
      <c r="D57">
        <f>C58</f>
        <v>90</v>
      </c>
      <c r="E57" t="str">
        <f>D58</f>
        <v>A2</v>
      </c>
      <c r="F57">
        <v>42</v>
      </c>
      <c r="G57">
        <f>F58</f>
        <v>62</v>
      </c>
      <c r="H57" t="str">
        <f>G58</f>
        <v>C1</v>
      </c>
      <c r="I57">
        <v>43</v>
      </c>
      <c r="J57">
        <f>I58</f>
        <v>59</v>
      </c>
      <c r="K57" t="str">
        <f>J58</f>
        <v>C2</v>
      </c>
      <c r="L57">
        <v>41</v>
      </c>
      <c r="M57">
        <f>L58</f>
        <v>53</v>
      </c>
      <c r="N57" t="str">
        <f>M58</f>
        <v>C2</v>
      </c>
      <c r="O57">
        <v>48</v>
      </c>
      <c r="P57">
        <f>O58</f>
        <v>82</v>
      </c>
      <c r="Q57" t="str">
        <f>P58</f>
        <v>B1</v>
      </c>
      <c r="R57" t="s">
        <v>307</v>
      </c>
    </row>
    <row r="58" spans="1:18" x14ac:dyDescent="0.25">
      <c r="C58">
        <v>90</v>
      </c>
      <c r="D58" t="s">
        <v>306</v>
      </c>
      <c r="F58">
        <v>62</v>
      </c>
      <c r="G58" t="s">
        <v>313</v>
      </c>
      <c r="I58">
        <v>59</v>
      </c>
      <c r="J58" t="s">
        <v>312</v>
      </c>
      <c r="L58">
        <v>53</v>
      </c>
      <c r="M58" t="s">
        <v>312</v>
      </c>
      <c r="O58">
        <v>82</v>
      </c>
      <c r="P58" t="s">
        <v>308</v>
      </c>
    </row>
    <row r="59" spans="1:18" x14ac:dyDescent="0.25">
      <c r="A59">
        <v>23605917</v>
      </c>
      <c r="B59" t="s">
        <v>346</v>
      </c>
      <c r="C59">
        <v>301</v>
      </c>
      <c r="D59">
        <f>C60</f>
        <v>83</v>
      </c>
      <c r="E59" t="str">
        <f>D60</f>
        <v>B1</v>
      </c>
      <c r="F59">
        <v>42</v>
      </c>
      <c r="G59">
        <f>F60</f>
        <v>95</v>
      </c>
      <c r="H59" t="str">
        <f>G60</f>
        <v>A1</v>
      </c>
      <c r="I59">
        <v>43</v>
      </c>
      <c r="J59">
        <f>I60</f>
        <v>86</v>
      </c>
      <c r="K59" t="str">
        <f>J60</f>
        <v>A2</v>
      </c>
      <c r="L59">
        <v>41</v>
      </c>
      <c r="M59">
        <f>L60</f>
        <v>90</v>
      </c>
      <c r="N59" t="str">
        <f>M60</f>
        <v>A1</v>
      </c>
      <c r="O59">
        <v>83</v>
      </c>
      <c r="P59">
        <f>O60</f>
        <v>94</v>
      </c>
      <c r="Q59" t="str">
        <f>P60</f>
        <v>A1</v>
      </c>
      <c r="R59" t="s">
        <v>307</v>
      </c>
    </row>
    <row r="60" spans="1:18" x14ac:dyDescent="0.25">
      <c r="C60">
        <v>83</v>
      </c>
      <c r="D60" t="s">
        <v>308</v>
      </c>
      <c r="F60">
        <v>95</v>
      </c>
      <c r="G60" t="s">
        <v>305</v>
      </c>
      <c r="I60">
        <v>86</v>
      </c>
      <c r="J60" t="s">
        <v>306</v>
      </c>
      <c r="L60">
        <v>90</v>
      </c>
      <c r="M60" t="s">
        <v>305</v>
      </c>
      <c r="O60">
        <v>94</v>
      </c>
      <c r="P60" t="s">
        <v>305</v>
      </c>
    </row>
    <row r="61" spans="1:18" x14ac:dyDescent="0.25">
      <c r="A61">
        <v>23605918</v>
      </c>
      <c r="B61" t="s">
        <v>347</v>
      </c>
      <c r="C61">
        <v>301</v>
      </c>
      <c r="D61">
        <f>C62</f>
        <v>73</v>
      </c>
      <c r="E61" t="str">
        <f>D62</f>
        <v>C1</v>
      </c>
      <c r="F61">
        <v>42</v>
      </c>
      <c r="G61">
        <f>F62</f>
        <v>64</v>
      </c>
      <c r="H61" t="str">
        <f>G62</f>
        <v>C1</v>
      </c>
      <c r="I61">
        <v>43</v>
      </c>
      <c r="J61">
        <f>I62</f>
        <v>60</v>
      </c>
      <c r="K61" t="str">
        <f>J62</f>
        <v>C2</v>
      </c>
      <c r="L61">
        <v>44</v>
      </c>
      <c r="M61">
        <f>L62</f>
        <v>85</v>
      </c>
      <c r="N61" t="str">
        <f>M62</f>
        <v>A2</v>
      </c>
      <c r="O61">
        <v>302</v>
      </c>
      <c r="P61">
        <f>O62</f>
        <v>81</v>
      </c>
      <c r="Q61" t="str">
        <f>P62</f>
        <v>B1</v>
      </c>
      <c r="R61" t="s">
        <v>307</v>
      </c>
    </row>
    <row r="62" spans="1:18" x14ac:dyDescent="0.25">
      <c r="C62">
        <v>73</v>
      </c>
      <c r="D62" t="s">
        <v>313</v>
      </c>
      <c r="F62">
        <v>64</v>
      </c>
      <c r="G62" t="s">
        <v>313</v>
      </c>
      <c r="I62">
        <v>60</v>
      </c>
      <c r="J62" t="s">
        <v>312</v>
      </c>
      <c r="L62">
        <v>85</v>
      </c>
      <c r="M62" t="s">
        <v>306</v>
      </c>
      <c r="O62">
        <v>81</v>
      </c>
      <c r="P62" t="s">
        <v>308</v>
      </c>
    </row>
    <row r="63" spans="1:18" x14ac:dyDescent="0.25">
      <c r="A63">
        <v>23605919</v>
      </c>
      <c r="B63" t="s">
        <v>348</v>
      </c>
      <c r="C63">
        <v>301</v>
      </c>
      <c r="D63">
        <f>C64</f>
        <v>87</v>
      </c>
      <c r="E63" t="str">
        <f>D64</f>
        <v>A2</v>
      </c>
      <c r="F63">
        <v>42</v>
      </c>
      <c r="G63">
        <f>F64</f>
        <v>59</v>
      </c>
      <c r="H63" t="str">
        <f>G64</f>
        <v>C2</v>
      </c>
      <c r="I63">
        <v>43</v>
      </c>
      <c r="J63">
        <f>I64</f>
        <v>57</v>
      </c>
      <c r="K63" t="str">
        <f>J64</f>
        <v>D1</v>
      </c>
      <c r="L63">
        <v>44</v>
      </c>
      <c r="M63">
        <f>L64</f>
        <v>63</v>
      </c>
      <c r="N63" t="str">
        <f>M64</f>
        <v>C2</v>
      </c>
      <c r="O63">
        <v>49</v>
      </c>
      <c r="P63">
        <f>O64</f>
        <v>87</v>
      </c>
      <c r="Q63" t="str">
        <f>P64</f>
        <v>C1</v>
      </c>
      <c r="R63" t="s">
        <v>307</v>
      </c>
    </row>
    <row r="64" spans="1:18" x14ac:dyDescent="0.25">
      <c r="C64">
        <v>87</v>
      </c>
      <c r="D64" t="s">
        <v>306</v>
      </c>
      <c r="F64">
        <v>59</v>
      </c>
      <c r="G64" t="s">
        <v>312</v>
      </c>
      <c r="I64">
        <v>57</v>
      </c>
      <c r="J64" t="s">
        <v>314</v>
      </c>
      <c r="L64">
        <v>63</v>
      </c>
      <c r="M64" t="s">
        <v>312</v>
      </c>
      <c r="O64">
        <v>87</v>
      </c>
      <c r="P64" t="s">
        <v>313</v>
      </c>
    </row>
    <row r="65" spans="1:18" x14ac:dyDescent="0.25">
      <c r="A65">
        <v>23605920</v>
      </c>
      <c r="B65" t="s">
        <v>349</v>
      </c>
      <c r="C65">
        <v>301</v>
      </c>
      <c r="D65">
        <f>C66</f>
        <v>83</v>
      </c>
      <c r="E65" t="str">
        <f>D66</f>
        <v>B1</v>
      </c>
      <c r="F65">
        <v>42</v>
      </c>
      <c r="G65">
        <f>F66</f>
        <v>95</v>
      </c>
      <c r="H65" t="str">
        <f>G66</f>
        <v>A1</v>
      </c>
      <c r="I65">
        <v>43</v>
      </c>
      <c r="J65">
        <f>I66</f>
        <v>86</v>
      </c>
      <c r="K65" t="str">
        <f>J66</f>
        <v>A2</v>
      </c>
      <c r="L65">
        <v>41</v>
      </c>
      <c r="M65">
        <f>L66</f>
        <v>85</v>
      </c>
      <c r="N65" t="str">
        <f>M66</f>
        <v>A2</v>
      </c>
      <c r="O65">
        <v>48</v>
      </c>
      <c r="P65">
        <f>O66</f>
        <v>95</v>
      </c>
      <c r="Q65" t="str">
        <f>P66</f>
        <v>A1</v>
      </c>
      <c r="R65" t="s">
        <v>307</v>
      </c>
    </row>
    <row r="66" spans="1:18" x14ac:dyDescent="0.25">
      <c r="C66">
        <v>83</v>
      </c>
      <c r="D66" t="s">
        <v>308</v>
      </c>
      <c r="F66">
        <v>95</v>
      </c>
      <c r="G66" t="s">
        <v>305</v>
      </c>
      <c r="I66">
        <v>86</v>
      </c>
      <c r="J66" t="s">
        <v>306</v>
      </c>
      <c r="L66">
        <v>85</v>
      </c>
      <c r="M66" t="s">
        <v>306</v>
      </c>
      <c r="O66">
        <v>95</v>
      </c>
      <c r="P66" t="s">
        <v>305</v>
      </c>
    </row>
    <row r="67" spans="1:18" x14ac:dyDescent="0.25">
      <c r="A67">
        <v>23605921</v>
      </c>
      <c r="B67" t="s">
        <v>350</v>
      </c>
      <c r="C67">
        <v>301</v>
      </c>
      <c r="D67">
        <f>C68</f>
        <v>90</v>
      </c>
      <c r="E67" t="str">
        <f>D68</f>
        <v>A2</v>
      </c>
      <c r="F67">
        <v>42</v>
      </c>
      <c r="G67">
        <f>F68</f>
        <v>86</v>
      </c>
      <c r="H67" t="str">
        <f>G68</f>
        <v>A2</v>
      </c>
      <c r="I67">
        <v>43</v>
      </c>
      <c r="J67">
        <f>I68</f>
        <v>89</v>
      </c>
      <c r="K67" t="str">
        <f>J68</f>
        <v>A2</v>
      </c>
      <c r="L67">
        <v>41</v>
      </c>
      <c r="M67">
        <f>L68</f>
        <v>80</v>
      </c>
      <c r="N67" t="str">
        <f>M68</f>
        <v>A2</v>
      </c>
      <c r="O67">
        <v>48</v>
      </c>
      <c r="P67">
        <f>O68</f>
        <v>96</v>
      </c>
      <c r="Q67" t="str">
        <f>P68</f>
        <v>A1</v>
      </c>
      <c r="R67" t="s">
        <v>307</v>
      </c>
    </row>
    <row r="68" spans="1:18" x14ac:dyDescent="0.25">
      <c r="C68">
        <v>90</v>
      </c>
      <c r="D68" t="s">
        <v>306</v>
      </c>
      <c r="F68">
        <v>86</v>
      </c>
      <c r="G68" t="s">
        <v>306</v>
      </c>
      <c r="I68">
        <v>89</v>
      </c>
      <c r="J68" t="s">
        <v>306</v>
      </c>
      <c r="L68">
        <v>80</v>
      </c>
      <c r="M68" t="s">
        <v>306</v>
      </c>
      <c r="O68">
        <v>96</v>
      </c>
      <c r="P68" t="s">
        <v>305</v>
      </c>
    </row>
    <row r="69" spans="1:18" x14ac:dyDescent="0.25">
      <c r="D69">
        <f>C70</f>
        <v>301</v>
      </c>
      <c r="E69">
        <f>D70</f>
        <v>83</v>
      </c>
    </row>
    <row r="70" spans="1:18" x14ac:dyDescent="0.25">
      <c r="A70">
        <v>23605922</v>
      </c>
      <c r="B70" t="s">
        <v>351</v>
      </c>
      <c r="C70">
        <v>301</v>
      </c>
      <c r="D70">
        <f>C71</f>
        <v>83</v>
      </c>
      <c r="E70" t="str">
        <f>D71</f>
        <v>B1</v>
      </c>
      <c r="F70">
        <v>42</v>
      </c>
      <c r="G70">
        <f>F71</f>
        <v>69</v>
      </c>
      <c r="H70" t="str">
        <f>G71</f>
        <v>B2</v>
      </c>
      <c r="I70">
        <v>43</v>
      </c>
      <c r="J70">
        <f>I71</f>
        <v>52</v>
      </c>
      <c r="K70" t="str">
        <f>J71</f>
        <v>D2</v>
      </c>
      <c r="L70">
        <v>41</v>
      </c>
      <c r="M70">
        <f>L71</f>
        <v>44</v>
      </c>
      <c r="N70" t="str">
        <f>M71</f>
        <v>D2</v>
      </c>
      <c r="O70">
        <v>83</v>
      </c>
      <c r="P70">
        <f>O71</f>
        <v>76</v>
      </c>
      <c r="Q70" t="str">
        <f>P71</f>
        <v>C1</v>
      </c>
      <c r="R70" t="s">
        <v>307</v>
      </c>
    </row>
    <row r="71" spans="1:18" x14ac:dyDescent="0.25">
      <c r="C71">
        <v>83</v>
      </c>
      <c r="D71" t="s">
        <v>308</v>
      </c>
      <c r="F71">
        <v>69</v>
      </c>
      <c r="G71" t="s">
        <v>309</v>
      </c>
      <c r="I71">
        <v>52</v>
      </c>
      <c r="J71" t="s">
        <v>310</v>
      </c>
      <c r="L71">
        <v>44</v>
      </c>
      <c r="M71" t="s">
        <v>310</v>
      </c>
      <c r="O71">
        <v>76</v>
      </c>
      <c r="P71" t="s">
        <v>313</v>
      </c>
    </row>
    <row r="72" spans="1:18" x14ac:dyDescent="0.25">
      <c r="A72">
        <v>23605923</v>
      </c>
      <c r="B72" t="s">
        <v>352</v>
      </c>
      <c r="C72">
        <v>301</v>
      </c>
      <c r="D72">
        <f>C73</f>
        <v>86</v>
      </c>
      <c r="E72" t="str">
        <f>D73</f>
        <v>A2</v>
      </c>
      <c r="F72">
        <v>42</v>
      </c>
      <c r="G72">
        <f>F73</f>
        <v>79</v>
      </c>
      <c r="H72" t="str">
        <f>G73</f>
        <v>A2</v>
      </c>
      <c r="I72">
        <v>43</v>
      </c>
      <c r="J72">
        <f>I73</f>
        <v>70</v>
      </c>
      <c r="K72" t="str">
        <f>J73</f>
        <v>B2</v>
      </c>
      <c r="L72">
        <v>44</v>
      </c>
      <c r="M72">
        <f>L73</f>
        <v>82</v>
      </c>
      <c r="N72" t="str">
        <f>M73</f>
        <v>B1</v>
      </c>
      <c r="O72">
        <v>37</v>
      </c>
      <c r="P72">
        <f>O73</f>
        <v>94</v>
      </c>
      <c r="Q72" t="str">
        <f>P73</f>
        <v>A2</v>
      </c>
      <c r="R72" t="s">
        <v>307</v>
      </c>
    </row>
    <row r="73" spans="1:18" x14ac:dyDescent="0.25">
      <c r="C73">
        <v>86</v>
      </c>
      <c r="D73" t="s">
        <v>306</v>
      </c>
      <c r="F73">
        <v>79</v>
      </c>
      <c r="G73" t="s">
        <v>306</v>
      </c>
      <c r="I73">
        <v>70</v>
      </c>
      <c r="J73" t="s">
        <v>309</v>
      </c>
      <c r="L73">
        <v>82</v>
      </c>
      <c r="M73" t="s">
        <v>308</v>
      </c>
      <c r="O73">
        <v>94</v>
      </c>
      <c r="P73" t="s">
        <v>306</v>
      </c>
    </row>
    <row r="74" spans="1:18" x14ac:dyDescent="0.25">
      <c r="A74">
        <v>23605924</v>
      </c>
      <c r="B74" t="s">
        <v>316</v>
      </c>
      <c r="C74">
        <v>301</v>
      </c>
      <c r="D74">
        <f>C75</f>
        <v>93</v>
      </c>
      <c r="E74" t="str">
        <f>D75</f>
        <v>A1</v>
      </c>
      <c r="F74">
        <v>42</v>
      </c>
      <c r="G74">
        <f>F75</f>
        <v>88</v>
      </c>
      <c r="H74" t="str">
        <f>G75</f>
        <v>A1</v>
      </c>
      <c r="I74">
        <v>43</v>
      </c>
      <c r="J74">
        <f>I75</f>
        <v>79</v>
      </c>
      <c r="K74" t="str">
        <f>J75</f>
        <v>B1</v>
      </c>
      <c r="L74">
        <v>44</v>
      </c>
      <c r="M74">
        <f>L75</f>
        <v>95</v>
      </c>
      <c r="N74" t="str">
        <f>M75</f>
        <v>A1</v>
      </c>
      <c r="O74">
        <v>37</v>
      </c>
      <c r="P74">
        <f>O75</f>
        <v>95</v>
      </c>
      <c r="Q74" t="str">
        <f>P75</f>
        <v>A1</v>
      </c>
      <c r="R74" t="s">
        <v>307</v>
      </c>
    </row>
    <row r="75" spans="1:18" x14ac:dyDescent="0.25">
      <c r="C75">
        <v>93</v>
      </c>
      <c r="D75" t="s">
        <v>305</v>
      </c>
      <c r="F75">
        <v>88</v>
      </c>
      <c r="G75" t="s">
        <v>305</v>
      </c>
      <c r="I75">
        <v>79</v>
      </c>
      <c r="J75" t="s">
        <v>308</v>
      </c>
      <c r="L75">
        <v>95</v>
      </c>
      <c r="M75" t="s">
        <v>305</v>
      </c>
      <c r="O75">
        <v>95</v>
      </c>
      <c r="P75" t="s">
        <v>305</v>
      </c>
    </row>
    <row r="76" spans="1:18" x14ac:dyDescent="0.25">
      <c r="A76">
        <v>23605925</v>
      </c>
      <c r="B76" t="s">
        <v>353</v>
      </c>
      <c r="C76">
        <v>301</v>
      </c>
      <c r="D76">
        <f>C77</f>
        <v>95</v>
      </c>
      <c r="E76" t="str">
        <f>D77</f>
        <v>A1</v>
      </c>
      <c r="F76">
        <v>42</v>
      </c>
      <c r="G76">
        <f>F77</f>
        <v>95</v>
      </c>
      <c r="H76" t="str">
        <f>G77</f>
        <v>A1</v>
      </c>
      <c r="I76">
        <v>43</v>
      </c>
      <c r="J76">
        <f>I77</f>
        <v>95</v>
      </c>
      <c r="K76" t="str">
        <f>J77</f>
        <v>A1</v>
      </c>
      <c r="L76">
        <v>41</v>
      </c>
      <c r="M76">
        <f>L77</f>
        <v>90</v>
      </c>
      <c r="N76" t="str">
        <f>M77</f>
        <v>A1</v>
      </c>
      <c r="O76">
        <v>48</v>
      </c>
      <c r="P76">
        <f>O77</f>
        <v>96</v>
      </c>
      <c r="Q76" t="str">
        <f>P77</f>
        <v>A1</v>
      </c>
      <c r="R76" t="s">
        <v>307</v>
      </c>
    </row>
    <row r="77" spans="1:18" x14ac:dyDescent="0.25">
      <c r="C77">
        <v>95</v>
      </c>
      <c r="D77" t="s">
        <v>305</v>
      </c>
      <c r="F77">
        <v>95</v>
      </c>
      <c r="G77" t="s">
        <v>305</v>
      </c>
      <c r="I77">
        <v>95</v>
      </c>
      <c r="J77" t="s">
        <v>305</v>
      </c>
      <c r="L77">
        <v>90</v>
      </c>
      <c r="M77" t="s">
        <v>305</v>
      </c>
      <c r="O77">
        <v>96</v>
      </c>
      <c r="P77" t="s">
        <v>305</v>
      </c>
    </row>
    <row r="78" spans="1:18" x14ac:dyDescent="0.25">
      <c r="A78">
        <v>23605926</v>
      </c>
      <c r="B78" t="s">
        <v>354</v>
      </c>
      <c r="C78">
        <v>301</v>
      </c>
      <c r="D78">
        <f>C79</f>
        <v>84</v>
      </c>
      <c r="E78" t="str">
        <f>D79</f>
        <v>B1</v>
      </c>
      <c r="F78">
        <v>42</v>
      </c>
      <c r="G78">
        <f>F79</f>
        <v>93</v>
      </c>
      <c r="H78" t="str">
        <f>G79</f>
        <v>A1</v>
      </c>
      <c r="I78">
        <v>43</v>
      </c>
      <c r="J78">
        <f>I79</f>
        <v>62</v>
      </c>
      <c r="K78" t="str">
        <f>J79</f>
        <v>C1</v>
      </c>
      <c r="L78">
        <v>44</v>
      </c>
      <c r="M78">
        <f>L79</f>
        <v>96</v>
      </c>
      <c r="N78" t="str">
        <f>M79</f>
        <v>A1</v>
      </c>
      <c r="O78">
        <v>37</v>
      </c>
      <c r="P78">
        <f>O79</f>
        <v>94</v>
      </c>
      <c r="Q78" t="str">
        <f>P79</f>
        <v>A2</v>
      </c>
      <c r="R78" t="s">
        <v>307</v>
      </c>
    </row>
    <row r="79" spans="1:18" x14ac:dyDescent="0.25">
      <c r="C79">
        <v>84</v>
      </c>
      <c r="D79" t="s">
        <v>308</v>
      </c>
      <c r="F79">
        <v>93</v>
      </c>
      <c r="G79" t="s">
        <v>305</v>
      </c>
      <c r="I79">
        <v>62</v>
      </c>
      <c r="J79" t="s">
        <v>313</v>
      </c>
      <c r="L79">
        <v>96</v>
      </c>
      <c r="M79" t="s">
        <v>305</v>
      </c>
      <c r="O79">
        <v>94</v>
      </c>
      <c r="P79" t="s">
        <v>306</v>
      </c>
    </row>
    <row r="80" spans="1:18" x14ac:dyDescent="0.25">
      <c r="A80">
        <v>23605927</v>
      </c>
      <c r="B80" t="s">
        <v>355</v>
      </c>
      <c r="C80">
        <v>301</v>
      </c>
      <c r="D80">
        <f>C81</f>
        <v>87</v>
      </c>
      <c r="E80" t="str">
        <f>D81</f>
        <v>A2</v>
      </c>
      <c r="F80">
        <v>42</v>
      </c>
      <c r="G80">
        <f>F81</f>
        <v>79</v>
      </c>
      <c r="H80" t="str">
        <f>G81</f>
        <v>A2</v>
      </c>
      <c r="I80">
        <v>43</v>
      </c>
      <c r="J80">
        <f>I81</f>
        <v>60</v>
      </c>
      <c r="K80" t="str">
        <f>J81</f>
        <v>C2</v>
      </c>
      <c r="L80">
        <v>44</v>
      </c>
      <c r="M80">
        <f>L81</f>
        <v>75</v>
      </c>
      <c r="N80" t="str">
        <f>M81</f>
        <v>B2</v>
      </c>
      <c r="O80">
        <v>37</v>
      </c>
      <c r="P80">
        <f>O81</f>
        <v>65</v>
      </c>
      <c r="Q80" t="str">
        <f>P81</f>
        <v>C2</v>
      </c>
      <c r="R80" t="s">
        <v>307</v>
      </c>
    </row>
    <row r="81" spans="1:18" x14ac:dyDescent="0.25">
      <c r="C81">
        <v>87</v>
      </c>
      <c r="D81" t="s">
        <v>306</v>
      </c>
      <c r="F81">
        <v>79</v>
      </c>
      <c r="G81" t="s">
        <v>306</v>
      </c>
      <c r="I81">
        <v>60</v>
      </c>
      <c r="J81" t="s">
        <v>312</v>
      </c>
      <c r="L81">
        <v>75</v>
      </c>
      <c r="M81" t="s">
        <v>309</v>
      </c>
      <c r="O81">
        <v>65</v>
      </c>
      <c r="P81" t="s">
        <v>312</v>
      </c>
    </row>
    <row r="82" spans="1:18" x14ac:dyDescent="0.25">
      <c r="A82">
        <v>23605928</v>
      </c>
      <c r="B82" t="s">
        <v>356</v>
      </c>
      <c r="C82">
        <v>301</v>
      </c>
      <c r="D82">
        <f>C83</f>
        <v>82</v>
      </c>
      <c r="E82" t="str">
        <f>D83</f>
        <v>B1</v>
      </c>
      <c r="F82">
        <v>42</v>
      </c>
      <c r="G82">
        <f>F83</f>
        <v>83</v>
      </c>
      <c r="H82" t="str">
        <f>G83</f>
        <v>A2</v>
      </c>
      <c r="I82">
        <v>43</v>
      </c>
      <c r="J82">
        <f>I83</f>
        <v>74</v>
      </c>
      <c r="K82" t="str">
        <f>J83</f>
        <v>B1</v>
      </c>
      <c r="L82">
        <v>44</v>
      </c>
      <c r="M82">
        <f>L83</f>
        <v>90</v>
      </c>
      <c r="N82" t="str">
        <f>M83</f>
        <v>A2</v>
      </c>
      <c r="O82">
        <v>37</v>
      </c>
      <c r="P82">
        <f>O83</f>
        <v>76</v>
      </c>
      <c r="Q82" t="str">
        <f>P83</f>
        <v>B2</v>
      </c>
      <c r="R82" t="s">
        <v>307</v>
      </c>
    </row>
    <row r="83" spans="1:18" x14ac:dyDescent="0.25">
      <c r="C83">
        <v>82</v>
      </c>
      <c r="D83" t="s">
        <v>308</v>
      </c>
      <c r="F83">
        <v>83</v>
      </c>
      <c r="G83" t="s">
        <v>306</v>
      </c>
      <c r="I83">
        <v>74</v>
      </c>
      <c r="J83" t="s">
        <v>308</v>
      </c>
      <c r="L83">
        <v>90</v>
      </c>
      <c r="M83" t="s">
        <v>306</v>
      </c>
      <c r="O83">
        <v>76</v>
      </c>
      <c r="P83" t="s">
        <v>309</v>
      </c>
    </row>
    <row r="84" spans="1:18" x14ac:dyDescent="0.25">
      <c r="A84">
        <v>23605929</v>
      </c>
      <c r="B84" t="s">
        <v>357</v>
      </c>
      <c r="C84">
        <v>301</v>
      </c>
      <c r="D84">
        <f>C85</f>
        <v>83</v>
      </c>
      <c r="E84" t="str">
        <f>D85</f>
        <v>B1</v>
      </c>
      <c r="F84">
        <v>302</v>
      </c>
      <c r="G84">
        <f>F85</f>
        <v>91</v>
      </c>
      <c r="H84" t="str">
        <f>G85</f>
        <v>A1</v>
      </c>
      <c r="I84">
        <v>42</v>
      </c>
      <c r="J84">
        <f>I85</f>
        <v>88</v>
      </c>
      <c r="K84" t="str">
        <f>J85</f>
        <v>A1</v>
      </c>
      <c r="L84">
        <v>43</v>
      </c>
      <c r="M84">
        <f>L85</f>
        <v>87</v>
      </c>
      <c r="N84" t="str">
        <f>M85</f>
        <v>A2</v>
      </c>
      <c r="O84">
        <v>44</v>
      </c>
      <c r="P84">
        <f>O85</f>
        <v>94</v>
      </c>
      <c r="Q84" t="str">
        <f>P85</f>
        <v>A1</v>
      </c>
      <c r="R84" t="s">
        <v>307</v>
      </c>
    </row>
    <row r="85" spans="1:18" x14ac:dyDescent="0.25">
      <c r="C85">
        <v>83</v>
      </c>
      <c r="D85" t="s">
        <v>308</v>
      </c>
      <c r="F85">
        <v>91</v>
      </c>
      <c r="G85" t="s">
        <v>305</v>
      </c>
      <c r="I85">
        <v>88</v>
      </c>
      <c r="J85" t="s">
        <v>305</v>
      </c>
      <c r="L85">
        <v>87</v>
      </c>
      <c r="M85" t="s">
        <v>306</v>
      </c>
      <c r="O85">
        <v>94</v>
      </c>
      <c r="P85" t="s">
        <v>305</v>
      </c>
    </row>
    <row r="86" spans="1:18" x14ac:dyDescent="0.25">
      <c r="A86">
        <v>23605930</v>
      </c>
      <c r="B86" t="s">
        <v>358</v>
      </c>
      <c r="C86">
        <v>301</v>
      </c>
      <c r="D86">
        <f>C87</f>
        <v>95</v>
      </c>
      <c r="E86" t="str">
        <f>D87</f>
        <v>A1</v>
      </c>
      <c r="F86">
        <v>42</v>
      </c>
      <c r="G86">
        <f>F87</f>
        <v>88</v>
      </c>
      <c r="H86" t="str">
        <f>G87</f>
        <v>A1</v>
      </c>
      <c r="I86">
        <v>43</v>
      </c>
      <c r="J86">
        <f>I87</f>
        <v>93</v>
      </c>
      <c r="K86" t="str">
        <f>J87</f>
        <v>A1</v>
      </c>
      <c r="L86">
        <v>41</v>
      </c>
      <c r="M86">
        <f>L87</f>
        <v>63</v>
      </c>
      <c r="N86" t="str">
        <f>M87</f>
        <v>B2</v>
      </c>
      <c r="O86">
        <v>34</v>
      </c>
      <c r="P86">
        <f>O87</f>
        <v>100</v>
      </c>
      <c r="Q86" t="str">
        <f>P87</f>
        <v>A1</v>
      </c>
      <c r="R86" t="s">
        <v>307</v>
      </c>
    </row>
    <row r="87" spans="1:18" x14ac:dyDescent="0.25">
      <c r="C87">
        <v>95</v>
      </c>
      <c r="D87" t="s">
        <v>305</v>
      </c>
      <c r="F87">
        <v>88</v>
      </c>
      <c r="G87" t="s">
        <v>305</v>
      </c>
      <c r="I87">
        <v>93</v>
      </c>
      <c r="J87" t="s">
        <v>305</v>
      </c>
      <c r="L87">
        <v>63</v>
      </c>
      <c r="M87" t="s">
        <v>309</v>
      </c>
      <c r="O87">
        <v>100</v>
      </c>
      <c r="P87" t="s">
        <v>305</v>
      </c>
    </row>
    <row r="88" spans="1:18" x14ac:dyDescent="0.25">
      <c r="A88">
        <v>23605931</v>
      </c>
      <c r="B88" t="s">
        <v>359</v>
      </c>
      <c r="C88">
        <v>301</v>
      </c>
      <c r="D88">
        <f>C89</f>
        <v>85</v>
      </c>
      <c r="E88" t="str">
        <f>D89</f>
        <v>B1</v>
      </c>
      <c r="F88">
        <v>42</v>
      </c>
      <c r="G88">
        <f>F89</f>
        <v>87</v>
      </c>
      <c r="H88" t="str">
        <f>G89</f>
        <v>A1</v>
      </c>
      <c r="I88">
        <v>43</v>
      </c>
      <c r="J88">
        <f>I89</f>
        <v>77</v>
      </c>
      <c r="K88" t="str">
        <f>J89</f>
        <v>B1</v>
      </c>
      <c r="L88">
        <v>44</v>
      </c>
      <c r="M88">
        <f>L89</f>
        <v>87</v>
      </c>
      <c r="N88" t="str">
        <f>M89</f>
        <v>A2</v>
      </c>
      <c r="O88">
        <v>37</v>
      </c>
      <c r="P88">
        <f>O89</f>
        <v>59</v>
      </c>
      <c r="Q88" t="str">
        <f>P89</f>
        <v>D1</v>
      </c>
      <c r="R88" t="s">
        <v>307</v>
      </c>
    </row>
    <row r="89" spans="1:18" x14ac:dyDescent="0.25">
      <c r="C89">
        <v>85</v>
      </c>
      <c r="D89" t="s">
        <v>308</v>
      </c>
      <c r="F89">
        <v>87</v>
      </c>
      <c r="G89" t="s">
        <v>305</v>
      </c>
      <c r="I89">
        <v>77</v>
      </c>
      <c r="J89" t="s">
        <v>308</v>
      </c>
      <c r="L89">
        <v>87</v>
      </c>
      <c r="M89" t="s">
        <v>306</v>
      </c>
      <c r="O89">
        <v>59</v>
      </c>
      <c r="P89" t="s">
        <v>314</v>
      </c>
    </row>
    <row r="90" spans="1:18" x14ac:dyDescent="0.25">
      <c r="D90">
        <f>C91</f>
        <v>301</v>
      </c>
      <c r="E90">
        <f>D91</f>
        <v>94</v>
      </c>
      <c r="J90">
        <f>I91</f>
        <v>43</v>
      </c>
      <c r="K90">
        <f>J91</f>
        <v>67</v>
      </c>
      <c r="M90">
        <f>L91</f>
        <v>44</v>
      </c>
      <c r="N90">
        <f>M91</f>
        <v>93</v>
      </c>
    </row>
    <row r="91" spans="1:18" x14ac:dyDescent="0.25">
      <c r="A91">
        <v>23605932</v>
      </c>
      <c r="B91" t="s">
        <v>360</v>
      </c>
      <c r="C91">
        <v>301</v>
      </c>
      <c r="D91">
        <f>C92</f>
        <v>94</v>
      </c>
      <c r="E91" t="str">
        <f>D92</f>
        <v>A1</v>
      </c>
      <c r="F91">
        <v>42</v>
      </c>
      <c r="G91">
        <f>F92</f>
        <v>80</v>
      </c>
      <c r="H91" t="str">
        <f>G92</f>
        <v>A2</v>
      </c>
      <c r="I91">
        <v>43</v>
      </c>
      <c r="J91">
        <f>I92</f>
        <v>67</v>
      </c>
      <c r="K91" t="str">
        <f>J92</f>
        <v>B2</v>
      </c>
      <c r="L91">
        <v>44</v>
      </c>
      <c r="M91">
        <f>L92</f>
        <v>93</v>
      </c>
      <c r="N91" t="str">
        <f>M92</f>
        <v>A1</v>
      </c>
      <c r="O91">
        <v>49</v>
      </c>
      <c r="P91">
        <f>O92</f>
        <v>96</v>
      </c>
      <c r="Q91" t="str">
        <f>P92</f>
        <v>A2</v>
      </c>
      <c r="R91" t="s">
        <v>307</v>
      </c>
    </row>
    <row r="92" spans="1:18" x14ac:dyDescent="0.25">
      <c r="C92">
        <v>94</v>
      </c>
      <c r="D92" t="s">
        <v>305</v>
      </c>
      <c r="F92">
        <v>80</v>
      </c>
      <c r="G92" t="s">
        <v>306</v>
      </c>
      <c r="I92">
        <v>67</v>
      </c>
      <c r="J92" t="s">
        <v>309</v>
      </c>
      <c r="L92">
        <v>93</v>
      </c>
      <c r="M92" t="s">
        <v>305</v>
      </c>
      <c r="O92">
        <v>96</v>
      </c>
      <c r="P92" t="s">
        <v>306</v>
      </c>
    </row>
    <row r="93" spans="1:18" x14ac:dyDescent="0.25">
      <c r="A93">
        <v>23605933</v>
      </c>
      <c r="B93" t="s">
        <v>361</v>
      </c>
      <c r="C93">
        <v>301</v>
      </c>
      <c r="D93">
        <f>C94</f>
        <v>90</v>
      </c>
      <c r="E93" t="str">
        <f>D94</f>
        <v>A2</v>
      </c>
      <c r="F93">
        <v>42</v>
      </c>
      <c r="G93">
        <f>F94</f>
        <v>78</v>
      </c>
      <c r="H93" t="str">
        <f>G94</f>
        <v>A2</v>
      </c>
      <c r="I93">
        <v>43</v>
      </c>
      <c r="J93">
        <f>I94</f>
        <v>59</v>
      </c>
      <c r="K93" t="str">
        <f>J94</f>
        <v>C2</v>
      </c>
      <c r="L93">
        <v>44</v>
      </c>
      <c r="M93">
        <f>L94</f>
        <v>81</v>
      </c>
      <c r="N93" t="str">
        <f>M94</f>
        <v>B1</v>
      </c>
      <c r="O93">
        <v>37</v>
      </c>
      <c r="P93">
        <f>O94</f>
        <v>92</v>
      </c>
      <c r="Q93" t="str">
        <f>P94</f>
        <v>A2</v>
      </c>
      <c r="R93" t="s">
        <v>307</v>
      </c>
    </row>
    <row r="94" spans="1:18" x14ac:dyDescent="0.25">
      <c r="C94">
        <v>90</v>
      </c>
      <c r="D94" t="s">
        <v>306</v>
      </c>
      <c r="F94">
        <v>78</v>
      </c>
      <c r="G94" t="s">
        <v>306</v>
      </c>
      <c r="I94">
        <v>59</v>
      </c>
      <c r="J94" t="s">
        <v>312</v>
      </c>
      <c r="L94">
        <v>81</v>
      </c>
      <c r="M94" t="s">
        <v>308</v>
      </c>
      <c r="O94">
        <v>92</v>
      </c>
      <c r="P94" t="s">
        <v>306</v>
      </c>
    </row>
    <row r="95" spans="1:18" x14ac:dyDescent="0.25">
      <c r="A95">
        <v>23605934</v>
      </c>
      <c r="B95" t="s">
        <v>362</v>
      </c>
      <c r="C95">
        <v>301</v>
      </c>
      <c r="D95">
        <f>C96</f>
        <v>72</v>
      </c>
      <c r="E95" t="str">
        <f>D96</f>
        <v>C1</v>
      </c>
      <c r="F95">
        <v>42</v>
      </c>
      <c r="G95">
        <f>F96</f>
        <v>71</v>
      </c>
      <c r="H95" t="str">
        <f>G96</f>
        <v>B1</v>
      </c>
      <c r="I95">
        <v>43</v>
      </c>
      <c r="J95">
        <f>I96</f>
        <v>51</v>
      </c>
      <c r="K95" t="str">
        <f>J96</f>
        <v>D2</v>
      </c>
      <c r="L95">
        <v>44</v>
      </c>
      <c r="M95">
        <f>L96</f>
        <v>69</v>
      </c>
      <c r="N95" t="str">
        <f>M96</f>
        <v>C1</v>
      </c>
      <c r="O95">
        <v>37</v>
      </c>
      <c r="P95">
        <f>O96</f>
        <v>57</v>
      </c>
      <c r="Q95" t="str">
        <f>P96</f>
        <v>D1</v>
      </c>
      <c r="R95" t="s">
        <v>307</v>
      </c>
    </row>
    <row r="96" spans="1:18" x14ac:dyDescent="0.25">
      <c r="C96">
        <v>72</v>
      </c>
      <c r="D96" t="s">
        <v>313</v>
      </c>
      <c r="F96">
        <v>71</v>
      </c>
      <c r="G96" t="s">
        <v>308</v>
      </c>
      <c r="I96">
        <v>51</v>
      </c>
      <c r="J96" t="s">
        <v>310</v>
      </c>
      <c r="L96">
        <v>69</v>
      </c>
      <c r="M96" t="s">
        <v>313</v>
      </c>
      <c r="O96">
        <v>57</v>
      </c>
      <c r="P96" t="s">
        <v>314</v>
      </c>
    </row>
    <row r="97" spans="1:18" x14ac:dyDescent="0.25">
      <c r="A97">
        <v>23605935</v>
      </c>
      <c r="B97" t="s">
        <v>363</v>
      </c>
      <c r="C97">
        <v>301</v>
      </c>
      <c r="D97">
        <f>C98</f>
        <v>85</v>
      </c>
      <c r="E97" t="str">
        <f>D98</f>
        <v>B1</v>
      </c>
      <c r="F97">
        <v>42</v>
      </c>
      <c r="G97">
        <f>F98</f>
        <v>67</v>
      </c>
      <c r="H97" t="str">
        <f>G98</f>
        <v>B2</v>
      </c>
      <c r="I97">
        <v>43</v>
      </c>
      <c r="J97">
        <f>I98</f>
        <v>51</v>
      </c>
      <c r="K97" t="str">
        <f>J98</f>
        <v>D2</v>
      </c>
      <c r="L97">
        <v>44</v>
      </c>
      <c r="M97">
        <f>L98</f>
        <v>81</v>
      </c>
      <c r="N97" t="str">
        <f>M98</f>
        <v>B1</v>
      </c>
      <c r="O97">
        <v>49</v>
      </c>
      <c r="P97">
        <f>O98</f>
        <v>96</v>
      </c>
      <c r="Q97" t="str">
        <f>P98</f>
        <v>A2</v>
      </c>
      <c r="R97" t="s">
        <v>307</v>
      </c>
    </row>
    <row r="98" spans="1:18" x14ac:dyDescent="0.25">
      <c r="C98">
        <v>85</v>
      </c>
      <c r="D98" t="s">
        <v>308</v>
      </c>
      <c r="F98">
        <v>67</v>
      </c>
      <c r="G98" t="s">
        <v>309</v>
      </c>
      <c r="I98">
        <v>51</v>
      </c>
      <c r="J98" t="s">
        <v>310</v>
      </c>
      <c r="L98">
        <v>81</v>
      </c>
      <c r="M98" t="s">
        <v>308</v>
      </c>
      <c r="O98">
        <v>96</v>
      </c>
      <c r="P98" t="s">
        <v>306</v>
      </c>
    </row>
    <row r="99" spans="1:18" x14ac:dyDescent="0.25">
      <c r="A99">
        <v>23605936</v>
      </c>
      <c r="B99" t="s">
        <v>364</v>
      </c>
      <c r="C99">
        <v>301</v>
      </c>
      <c r="D99">
        <f>C100</f>
        <v>93</v>
      </c>
      <c r="E99" t="str">
        <f>D100</f>
        <v>A1</v>
      </c>
      <c r="F99">
        <v>42</v>
      </c>
      <c r="G99">
        <f>F100</f>
        <v>95</v>
      </c>
      <c r="H99" t="str">
        <f>G100</f>
        <v>A1</v>
      </c>
      <c r="I99">
        <v>43</v>
      </c>
      <c r="J99">
        <f>I100</f>
        <v>82</v>
      </c>
      <c r="K99" t="str">
        <f>J100</f>
        <v>A2</v>
      </c>
      <c r="L99">
        <v>41</v>
      </c>
      <c r="M99">
        <f>L100</f>
        <v>65</v>
      </c>
      <c r="N99" t="str">
        <f>M100</f>
        <v>B2</v>
      </c>
      <c r="O99">
        <v>34</v>
      </c>
      <c r="P99">
        <f>O100</f>
        <v>95</v>
      </c>
      <c r="Q99" t="str">
        <f>P100</f>
        <v>A2</v>
      </c>
      <c r="R99" t="s">
        <v>307</v>
      </c>
    </row>
    <row r="100" spans="1:18" x14ac:dyDescent="0.25">
      <c r="C100">
        <v>93</v>
      </c>
      <c r="D100" t="s">
        <v>305</v>
      </c>
      <c r="F100">
        <v>95</v>
      </c>
      <c r="G100" t="s">
        <v>305</v>
      </c>
      <c r="I100">
        <v>82</v>
      </c>
      <c r="J100" t="s">
        <v>306</v>
      </c>
      <c r="L100">
        <v>65</v>
      </c>
      <c r="M100" t="s">
        <v>309</v>
      </c>
      <c r="O100">
        <v>95</v>
      </c>
      <c r="P100" t="s">
        <v>306</v>
      </c>
    </row>
    <row r="101" spans="1:18" x14ac:dyDescent="0.25">
      <c r="A101">
        <v>23605937</v>
      </c>
      <c r="B101" t="s">
        <v>365</v>
      </c>
      <c r="C101">
        <v>301</v>
      </c>
      <c r="D101">
        <f>C102</f>
        <v>84</v>
      </c>
      <c r="E101" t="str">
        <f>D102</f>
        <v>B1</v>
      </c>
      <c r="F101">
        <v>42</v>
      </c>
      <c r="G101">
        <f>F102</f>
        <v>72</v>
      </c>
      <c r="H101" t="str">
        <f>G102</f>
        <v>B1</v>
      </c>
      <c r="I101">
        <v>43</v>
      </c>
      <c r="J101">
        <f>I102</f>
        <v>60</v>
      </c>
      <c r="K101" t="str">
        <f>J102</f>
        <v>C2</v>
      </c>
      <c r="L101">
        <v>41</v>
      </c>
      <c r="M101">
        <f>L102</f>
        <v>53</v>
      </c>
      <c r="N101" t="str">
        <f>M102</f>
        <v>C2</v>
      </c>
      <c r="O101">
        <v>44</v>
      </c>
      <c r="P101">
        <f>O102</f>
        <v>80</v>
      </c>
      <c r="Q101" t="str">
        <f>P102</f>
        <v>B1</v>
      </c>
      <c r="R101" t="s">
        <v>307</v>
      </c>
    </row>
    <row r="102" spans="1:18" x14ac:dyDescent="0.25">
      <c r="C102">
        <v>84</v>
      </c>
      <c r="D102" t="s">
        <v>308</v>
      </c>
      <c r="F102">
        <v>72</v>
      </c>
      <c r="G102" t="s">
        <v>308</v>
      </c>
      <c r="I102">
        <v>60</v>
      </c>
      <c r="J102" t="s">
        <v>312</v>
      </c>
      <c r="L102">
        <v>53</v>
      </c>
      <c r="M102" t="s">
        <v>312</v>
      </c>
      <c r="O102">
        <v>80</v>
      </c>
      <c r="P102" t="s">
        <v>308</v>
      </c>
    </row>
    <row r="103" spans="1:18" x14ac:dyDescent="0.25">
      <c r="A103">
        <v>23605938</v>
      </c>
      <c r="B103" t="s">
        <v>366</v>
      </c>
      <c r="C103">
        <v>301</v>
      </c>
      <c r="D103">
        <f>C104</f>
        <v>96</v>
      </c>
      <c r="E103" t="str">
        <f>D104</f>
        <v>A1</v>
      </c>
      <c r="F103">
        <v>42</v>
      </c>
      <c r="G103">
        <f>F104</f>
        <v>95</v>
      </c>
      <c r="H103" t="str">
        <f>G104</f>
        <v>A1</v>
      </c>
      <c r="I103">
        <v>43</v>
      </c>
      <c r="J103">
        <f>I104</f>
        <v>88</v>
      </c>
      <c r="K103" t="str">
        <f>J104</f>
        <v>A2</v>
      </c>
      <c r="L103">
        <v>41</v>
      </c>
      <c r="M103">
        <f>L104</f>
        <v>67</v>
      </c>
      <c r="N103" t="str">
        <f>M104</f>
        <v>B1</v>
      </c>
      <c r="O103">
        <v>48</v>
      </c>
      <c r="P103">
        <f>O104</f>
        <v>96</v>
      </c>
      <c r="Q103" t="str">
        <f>P104</f>
        <v>A1</v>
      </c>
      <c r="R103" t="s">
        <v>307</v>
      </c>
    </row>
    <row r="104" spans="1:18" x14ac:dyDescent="0.25">
      <c r="C104">
        <v>96</v>
      </c>
      <c r="D104" t="s">
        <v>305</v>
      </c>
      <c r="F104">
        <v>95</v>
      </c>
      <c r="G104" t="s">
        <v>305</v>
      </c>
      <c r="I104">
        <v>88</v>
      </c>
      <c r="J104" t="s">
        <v>306</v>
      </c>
      <c r="L104">
        <v>67</v>
      </c>
      <c r="M104" t="s">
        <v>308</v>
      </c>
      <c r="O104">
        <v>96</v>
      </c>
      <c r="P104" t="s">
        <v>305</v>
      </c>
    </row>
    <row r="105" spans="1:18" x14ac:dyDescent="0.25">
      <c r="A105">
        <v>23605939</v>
      </c>
      <c r="B105" t="s">
        <v>367</v>
      </c>
      <c r="C105">
        <v>301</v>
      </c>
      <c r="D105">
        <f>C106</f>
        <v>94</v>
      </c>
      <c r="E105" t="str">
        <f>D106</f>
        <v>A1</v>
      </c>
      <c r="F105">
        <v>42</v>
      </c>
      <c r="G105">
        <f>F106</f>
        <v>98</v>
      </c>
      <c r="H105" t="str">
        <f>G106</f>
        <v>A1</v>
      </c>
      <c r="I105">
        <v>43</v>
      </c>
      <c r="J105">
        <f>I106</f>
        <v>95</v>
      </c>
      <c r="K105" t="str">
        <f>J106</f>
        <v>A1</v>
      </c>
      <c r="L105">
        <v>41</v>
      </c>
      <c r="M105">
        <f>L106</f>
        <v>97</v>
      </c>
      <c r="N105" t="str">
        <f>M106</f>
        <v>A1</v>
      </c>
      <c r="O105">
        <v>48</v>
      </c>
      <c r="P105">
        <f>O106</f>
        <v>94</v>
      </c>
      <c r="Q105" t="str">
        <f>P106</f>
        <v>A1</v>
      </c>
      <c r="R105" t="s">
        <v>307</v>
      </c>
    </row>
    <row r="106" spans="1:18" x14ac:dyDescent="0.25">
      <c r="C106">
        <v>94</v>
      </c>
      <c r="D106" t="s">
        <v>305</v>
      </c>
      <c r="F106">
        <v>98</v>
      </c>
      <c r="G106" t="s">
        <v>305</v>
      </c>
      <c r="I106">
        <v>95</v>
      </c>
      <c r="J106" t="s">
        <v>305</v>
      </c>
      <c r="L106">
        <v>97</v>
      </c>
      <c r="M106" t="s">
        <v>305</v>
      </c>
      <c r="O106">
        <v>94</v>
      </c>
      <c r="P106" t="s">
        <v>305</v>
      </c>
    </row>
    <row r="107" spans="1:18" x14ac:dyDescent="0.25">
      <c r="A107">
        <v>23605940</v>
      </c>
      <c r="B107" t="s">
        <v>368</v>
      </c>
      <c r="C107">
        <v>301</v>
      </c>
      <c r="D107">
        <f>C108</f>
        <v>98</v>
      </c>
      <c r="E107" t="str">
        <f>D108</f>
        <v>A1</v>
      </c>
      <c r="F107">
        <v>42</v>
      </c>
      <c r="G107">
        <f>F108</f>
        <v>95</v>
      </c>
      <c r="H107" t="str">
        <f>G108</f>
        <v>A1</v>
      </c>
      <c r="I107">
        <v>43</v>
      </c>
      <c r="J107">
        <f>I108</f>
        <v>98</v>
      </c>
      <c r="K107" t="str">
        <f>J108</f>
        <v>A1</v>
      </c>
      <c r="L107">
        <v>41</v>
      </c>
      <c r="M107">
        <f>L108</f>
        <v>98</v>
      </c>
      <c r="N107" t="str">
        <f>M108</f>
        <v>A1</v>
      </c>
      <c r="O107">
        <v>83</v>
      </c>
      <c r="P107">
        <f>O108</f>
        <v>98</v>
      </c>
      <c r="Q107" t="str">
        <f>P108</f>
        <v>A1</v>
      </c>
      <c r="R107" t="s">
        <v>307</v>
      </c>
    </row>
    <row r="108" spans="1:18" x14ac:dyDescent="0.25">
      <c r="C108">
        <v>98</v>
      </c>
      <c r="D108" t="s">
        <v>305</v>
      </c>
      <c r="F108">
        <v>95</v>
      </c>
      <c r="G108" t="s">
        <v>305</v>
      </c>
      <c r="I108">
        <v>98</v>
      </c>
      <c r="J108" t="s">
        <v>305</v>
      </c>
      <c r="L108">
        <v>98</v>
      </c>
      <c r="M108" t="s">
        <v>305</v>
      </c>
      <c r="O108">
        <v>98</v>
      </c>
      <c r="P108" t="s">
        <v>305</v>
      </c>
    </row>
    <row r="109" spans="1:18" x14ac:dyDescent="0.25">
      <c r="A109">
        <v>23605941</v>
      </c>
      <c r="B109" t="s">
        <v>369</v>
      </c>
      <c r="C109">
        <v>301</v>
      </c>
      <c r="D109">
        <f>C110</f>
        <v>91</v>
      </c>
      <c r="E109" t="str">
        <f>D110</f>
        <v>A1</v>
      </c>
      <c r="F109">
        <v>42</v>
      </c>
      <c r="G109">
        <f>F110</f>
        <v>74</v>
      </c>
      <c r="H109" t="str">
        <f>G110</f>
        <v>B1</v>
      </c>
      <c r="I109">
        <v>43</v>
      </c>
      <c r="J109">
        <f>I110</f>
        <v>72</v>
      </c>
      <c r="K109" t="str">
        <f>J110</f>
        <v>B1</v>
      </c>
      <c r="L109">
        <v>44</v>
      </c>
      <c r="M109">
        <f>L110</f>
        <v>94</v>
      </c>
      <c r="N109" t="str">
        <f>M110</f>
        <v>A1</v>
      </c>
      <c r="O109">
        <v>37</v>
      </c>
      <c r="P109">
        <f>O110</f>
        <v>69</v>
      </c>
      <c r="Q109" t="str">
        <f>P110</f>
        <v>C1</v>
      </c>
      <c r="R109" t="s">
        <v>307</v>
      </c>
    </row>
    <row r="110" spans="1:18" x14ac:dyDescent="0.25">
      <c r="C110">
        <v>91</v>
      </c>
      <c r="D110" t="s">
        <v>305</v>
      </c>
      <c r="F110">
        <v>74</v>
      </c>
      <c r="G110" t="s">
        <v>308</v>
      </c>
      <c r="I110">
        <v>72</v>
      </c>
      <c r="J110" t="s">
        <v>308</v>
      </c>
      <c r="L110">
        <v>94</v>
      </c>
      <c r="M110" t="s">
        <v>305</v>
      </c>
      <c r="O110">
        <v>69</v>
      </c>
      <c r="P110" t="s">
        <v>313</v>
      </c>
    </row>
    <row r="111" spans="1:18" x14ac:dyDescent="0.25">
      <c r="D111">
        <f>C112</f>
        <v>301</v>
      </c>
      <c r="E111">
        <f>D112</f>
        <v>88</v>
      </c>
      <c r="G111">
        <f>F112</f>
        <v>42</v>
      </c>
      <c r="H111">
        <f>G112</f>
        <v>82</v>
      </c>
      <c r="J111">
        <f>I112</f>
        <v>43</v>
      </c>
      <c r="K111">
        <f>J112</f>
        <v>59</v>
      </c>
    </row>
    <row r="112" spans="1:18" x14ac:dyDescent="0.25">
      <c r="A112">
        <v>23605942</v>
      </c>
      <c r="B112" t="s">
        <v>370</v>
      </c>
      <c r="C112">
        <v>301</v>
      </c>
      <c r="D112">
        <f>C113</f>
        <v>88</v>
      </c>
      <c r="E112" t="str">
        <f>D113</f>
        <v>A2</v>
      </c>
      <c r="F112">
        <v>42</v>
      </c>
      <c r="G112">
        <f>F113</f>
        <v>82</v>
      </c>
      <c r="H112" t="str">
        <f>G113</f>
        <v>A2</v>
      </c>
      <c r="I112">
        <v>43</v>
      </c>
      <c r="J112">
        <f>I113</f>
        <v>59</v>
      </c>
      <c r="K112" t="str">
        <f>J113</f>
        <v>C2</v>
      </c>
      <c r="L112">
        <v>41</v>
      </c>
      <c r="M112">
        <f>L113</f>
        <v>45</v>
      </c>
      <c r="N112" t="str">
        <f>M113</f>
        <v>D2</v>
      </c>
      <c r="O112">
        <v>48</v>
      </c>
      <c r="P112">
        <f>O113</f>
        <v>88</v>
      </c>
      <c r="Q112" t="str">
        <f>P113</f>
        <v>A2</v>
      </c>
      <c r="R112" t="s">
        <v>307</v>
      </c>
    </row>
    <row r="113" spans="1:18" x14ac:dyDescent="0.25">
      <c r="C113">
        <v>88</v>
      </c>
      <c r="D113" t="s">
        <v>306</v>
      </c>
      <c r="F113">
        <v>82</v>
      </c>
      <c r="G113" t="s">
        <v>306</v>
      </c>
      <c r="I113">
        <v>59</v>
      </c>
      <c r="J113" t="s">
        <v>312</v>
      </c>
      <c r="L113">
        <v>45</v>
      </c>
      <c r="M113" t="s">
        <v>310</v>
      </c>
      <c r="O113">
        <v>88</v>
      </c>
      <c r="P113" t="s">
        <v>306</v>
      </c>
    </row>
    <row r="114" spans="1:18" x14ac:dyDescent="0.25">
      <c r="A114">
        <v>23605943</v>
      </c>
      <c r="B114" t="s">
        <v>371</v>
      </c>
      <c r="C114">
        <v>301</v>
      </c>
      <c r="D114">
        <f>C115</f>
        <v>91</v>
      </c>
      <c r="E114" t="str">
        <f>D115</f>
        <v>A1</v>
      </c>
      <c r="F114">
        <v>42</v>
      </c>
      <c r="G114">
        <f>F115</f>
        <v>93</v>
      </c>
      <c r="H114" t="str">
        <f>G115</f>
        <v>A1</v>
      </c>
      <c r="I114">
        <v>43</v>
      </c>
      <c r="J114">
        <f>I115</f>
        <v>95</v>
      </c>
      <c r="K114" t="str">
        <f>J115</f>
        <v>A1</v>
      </c>
      <c r="L114">
        <v>41</v>
      </c>
      <c r="M114">
        <f>L115</f>
        <v>95</v>
      </c>
      <c r="N114" t="str">
        <f>M115</f>
        <v>A1</v>
      </c>
      <c r="O114">
        <v>48</v>
      </c>
      <c r="P114">
        <f>O115</f>
        <v>96</v>
      </c>
      <c r="Q114" t="str">
        <f>P115</f>
        <v>A1</v>
      </c>
      <c r="R114" t="s">
        <v>307</v>
      </c>
    </row>
    <row r="115" spans="1:18" x14ac:dyDescent="0.25">
      <c r="C115">
        <v>91</v>
      </c>
      <c r="D115" t="s">
        <v>305</v>
      </c>
      <c r="F115">
        <v>93</v>
      </c>
      <c r="G115" t="s">
        <v>305</v>
      </c>
      <c r="I115">
        <v>95</v>
      </c>
      <c r="J115" t="s">
        <v>305</v>
      </c>
      <c r="L115">
        <v>95</v>
      </c>
      <c r="M115" t="s">
        <v>305</v>
      </c>
      <c r="O115">
        <v>96</v>
      </c>
      <c r="P115" t="s">
        <v>305</v>
      </c>
    </row>
    <row r="116" spans="1:18" x14ac:dyDescent="0.25">
      <c r="A116">
        <v>23605944</v>
      </c>
      <c r="B116" t="s">
        <v>372</v>
      </c>
      <c r="C116">
        <v>301</v>
      </c>
      <c r="D116">
        <f>C117</f>
        <v>86</v>
      </c>
      <c r="E116" t="str">
        <f>D117</f>
        <v>A2</v>
      </c>
      <c r="F116">
        <v>42</v>
      </c>
      <c r="G116">
        <f>F117</f>
        <v>85</v>
      </c>
      <c r="H116" t="str">
        <f>G117</f>
        <v>A2</v>
      </c>
      <c r="I116">
        <v>43</v>
      </c>
      <c r="J116">
        <f>I117</f>
        <v>75</v>
      </c>
      <c r="K116" t="str">
        <f>J117</f>
        <v>B1</v>
      </c>
      <c r="L116">
        <v>41</v>
      </c>
      <c r="M116">
        <f>L117</f>
        <v>79</v>
      </c>
      <c r="N116" t="str">
        <f>M117</f>
        <v>A2</v>
      </c>
      <c r="O116">
        <v>34</v>
      </c>
      <c r="P116">
        <f>O117</f>
        <v>89</v>
      </c>
      <c r="Q116" t="str">
        <f>P117</f>
        <v>C1</v>
      </c>
      <c r="R116" t="s">
        <v>307</v>
      </c>
    </row>
    <row r="117" spans="1:18" x14ac:dyDescent="0.25">
      <c r="C117">
        <v>86</v>
      </c>
      <c r="D117" t="s">
        <v>306</v>
      </c>
      <c r="F117">
        <v>85</v>
      </c>
      <c r="G117" t="s">
        <v>306</v>
      </c>
      <c r="I117">
        <v>75</v>
      </c>
      <c r="J117" t="s">
        <v>308</v>
      </c>
      <c r="L117">
        <v>79</v>
      </c>
      <c r="M117" t="s">
        <v>306</v>
      </c>
      <c r="O117">
        <v>89</v>
      </c>
      <c r="P117" t="s">
        <v>313</v>
      </c>
    </row>
    <row r="118" spans="1:18" x14ac:dyDescent="0.25">
      <c r="A118">
        <v>23605945</v>
      </c>
      <c r="B118" t="s">
        <v>373</v>
      </c>
      <c r="C118">
        <v>301</v>
      </c>
      <c r="D118">
        <f>C119</f>
        <v>94</v>
      </c>
      <c r="E118" t="str">
        <f>D119</f>
        <v>A1</v>
      </c>
      <c r="F118">
        <v>42</v>
      </c>
      <c r="G118">
        <f>F119</f>
        <v>93</v>
      </c>
      <c r="H118" t="str">
        <f>G119</f>
        <v>A1</v>
      </c>
      <c r="I118">
        <v>43</v>
      </c>
      <c r="J118">
        <f>I119</f>
        <v>88</v>
      </c>
      <c r="K118" t="str">
        <f>J119</f>
        <v>A2</v>
      </c>
      <c r="L118">
        <v>41</v>
      </c>
      <c r="M118">
        <f>L119</f>
        <v>75</v>
      </c>
      <c r="N118" t="str">
        <f>M119</f>
        <v>B1</v>
      </c>
      <c r="O118">
        <v>83</v>
      </c>
      <c r="P118">
        <f>O119</f>
        <v>88</v>
      </c>
      <c r="Q118" t="str">
        <f>P119</f>
        <v>A2</v>
      </c>
      <c r="R118" t="s">
        <v>307</v>
      </c>
    </row>
    <row r="119" spans="1:18" x14ac:dyDescent="0.25">
      <c r="C119">
        <v>94</v>
      </c>
      <c r="D119" t="s">
        <v>305</v>
      </c>
      <c r="F119">
        <v>93</v>
      </c>
      <c r="G119" t="s">
        <v>305</v>
      </c>
      <c r="I119">
        <v>88</v>
      </c>
      <c r="J119" t="s">
        <v>306</v>
      </c>
      <c r="L119">
        <v>75</v>
      </c>
      <c r="M119" t="s">
        <v>308</v>
      </c>
      <c r="O119">
        <v>88</v>
      </c>
      <c r="P119" t="s">
        <v>306</v>
      </c>
    </row>
    <row r="120" spans="1:18" x14ac:dyDescent="0.25">
      <c r="A120">
        <v>23605946</v>
      </c>
      <c r="B120" t="s">
        <v>374</v>
      </c>
      <c r="C120">
        <v>301</v>
      </c>
      <c r="D120">
        <f>C121</f>
        <v>92</v>
      </c>
      <c r="E120" t="str">
        <f>D121</f>
        <v>A1</v>
      </c>
      <c r="F120">
        <v>42</v>
      </c>
      <c r="G120">
        <f>F121</f>
        <v>78</v>
      </c>
      <c r="H120" t="str">
        <f>G121</f>
        <v>A2</v>
      </c>
      <c r="I120">
        <v>43</v>
      </c>
      <c r="J120">
        <f>I121</f>
        <v>63</v>
      </c>
      <c r="K120" t="str">
        <f>J121</f>
        <v>C1</v>
      </c>
      <c r="L120">
        <v>41</v>
      </c>
      <c r="M120">
        <f>L121</f>
        <v>53</v>
      </c>
      <c r="N120" t="str">
        <f>M121</f>
        <v>C2</v>
      </c>
      <c r="O120">
        <v>48</v>
      </c>
      <c r="P120">
        <f>O121</f>
        <v>87</v>
      </c>
      <c r="Q120" t="str">
        <f>P121</f>
        <v>A2</v>
      </c>
      <c r="R120" t="s">
        <v>307</v>
      </c>
    </row>
    <row r="121" spans="1:18" x14ac:dyDescent="0.25">
      <c r="C121">
        <v>92</v>
      </c>
      <c r="D121" t="s">
        <v>305</v>
      </c>
      <c r="F121">
        <v>78</v>
      </c>
      <c r="G121" t="s">
        <v>306</v>
      </c>
      <c r="I121">
        <v>63</v>
      </c>
      <c r="J121" t="s">
        <v>313</v>
      </c>
      <c r="L121">
        <v>53</v>
      </c>
      <c r="M121" t="s">
        <v>312</v>
      </c>
      <c r="O121">
        <v>87</v>
      </c>
      <c r="P121" t="s">
        <v>306</v>
      </c>
    </row>
    <row r="122" spans="1:18" x14ac:dyDescent="0.25">
      <c r="A122">
        <v>23605947</v>
      </c>
      <c r="B122" t="s">
        <v>375</v>
      </c>
      <c r="C122">
        <v>301</v>
      </c>
      <c r="D122">
        <f>C123</f>
        <v>65</v>
      </c>
      <c r="E122" t="str">
        <f>D123</f>
        <v>C2</v>
      </c>
      <c r="F122">
        <v>42</v>
      </c>
      <c r="G122">
        <f>F123</f>
        <v>65</v>
      </c>
      <c r="H122" t="str">
        <f>G123</f>
        <v>B2</v>
      </c>
      <c r="I122">
        <v>43</v>
      </c>
      <c r="J122">
        <f>I123</f>
        <v>58</v>
      </c>
      <c r="K122" t="str">
        <f>J123</f>
        <v>D1</v>
      </c>
      <c r="L122">
        <v>44</v>
      </c>
      <c r="M122">
        <f>L123</f>
        <v>75</v>
      </c>
      <c r="N122" t="str">
        <f>M123</f>
        <v>B2</v>
      </c>
      <c r="O122">
        <v>49</v>
      </c>
      <c r="P122">
        <f>O123</f>
        <v>80</v>
      </c>
      <c r="Q122" t="str">
        <f>P123</f>
        <v>D1</v>
      </c>
      <c r="R122" t="s">
        <v>307</v>
      </c>
    </row>
    <row r="123" spans="1:18" x14ac:dyDescent="0.25">
      <c r="C123">
        <v>65</v>
      </c>
      <c r="D123" t="s">
        <v>312</v>
      </c>
      <c r="F123">
        <v>65</v>
      </c>
      <c r="G123" t="s">
        <v>309</v>
      </c>
      <c r="I123">
        <v>58</v>
      </c>
      <c r="J123" t="s">
        <v>314</v>
      </c>
      <c r="L123">
        <v>75</v>
      </c>
      <c r="M123" t="s">
        <v>309</v>
      </c>
      <c r="O123">
        <v>80</v>
      </c>
      <c r="P123" t="s">
        <v>314</v>
      </c>
    </row>
    <row r="124" spans="1:18" x14ac:dyDescent="0.25">
      <c r="A124">
        <v>23605948</v>
      </c>
      <c r="B124" t="s">
        <v>376</v>
      </c>
      <c r="C124">
        <v>301</v>
      </c>
      <c r="D124">
        <f>C125</f>
        <v>90</v>
      </c>
      <c r="E124" t="str">
        <f>D125</f>
        <v>A2</v>
      </c>
      <c r="F124">
        <v>42</v>
      </c>
      <c r="G124">
        <f>F125</f>
        <v>85</v>
      </c>
      <c r="H124" t="str">
        <f>G125</f>
        <v>A2</v>
      </c>
      <c r="I124">
        <v>43</v>
      </c>
      <c r="J124">
        <f>I125</f>
        <v>73</v>
      </c>
      <c r="K124" t="str">
        <f>J125</f>
        <v>B1</v>
      </c>
      <c r="L124">
        <v>41</v>
      </c>
      <c r="M124">
        <f>L125</f>
        <v>61</v>
      </c>
      <c r="N124" t="str">
        <f>M125</f>
        <v>B2</v>
      </c>
      <c r="O124">
        <v>83</v>
      </c>
      <c r="P124">
        <f>O125</f>
        <v>91</v>
      </c>
      <c r="Q124" t="str">
        <f>P125</f>
        <v>A2</v>
      </c>
      <c r="R124" t="s">
        <v>307</v>
      </c>
    </row>
    <row r="125" spans="1:18" x14ac:dyDescent="0.25">
      <c r="C125">
        <v>90</v>
      </c>
      <c r="D125" t="s">
        <v>306</v>
      </c>
      <c r="F125">
        <v>85</v>
      </c>
      <c r="G125" t="s">
        <v>306</v>
      </c>
      <c r="I125">
        <v>73</v>
      </c>
      <c r="J125" t="s">
        <v>308</v>
      </c>
      <c r="L125">
        <v>61</v>
      </c>
      <c r="M125" t="s">
        <v>309</v>
      </c>
      <c r="O125">
        <v>91</v>
      </c>
      <c r="P125" t="s">
        <v>306</v>
      </c>
    </row>
    <row r="126" spans="1:18" x14ac:dyDescent="0.25">
      <c r="A126">
        <v>23605949</v>
      </c>
      <c r="B126" t="s">
        <v>377</v>
      </c>
      <c r="C126">
        <v>301</v>
      </c>
      <c r="D126">
        <f>C127</f>
        <v>76</v>
      </c>
      <c r="E126" t="str">
        <f>D127</f>
        <v>B2</v>
      </c>
      <c r="F126">
        <v>42</v>
      </c>
      <c r="G126">
        <f>F127</f>
        <v>56</v>
      </c>
      <c r="H126" t="str">
        <f>G127</f>
        <v>C2</v>
      </c>
      <c r="I126">
        <v>43</v>
      </c>
      <c r="J126">
        <f>I127</f>
        <v>63</v>
      </c>
      <c r="K126" t="str">
        <f>J127</f>
        <v>C1</v>
      </c>
      <c r="L126">
        <v>41</v>
      </c>
      <c r="M126">
        <f>L127</f>
        <v>45</v>
      </c>
      <c r="N126" t="str">
        <f>M127</f>
        <v>D2</v>
      </c>
      <c r="O126">
        <v>83</v>
      </c>
      <c r="P126">
        <f>O127</f>
        <v>76</v>
      </c>
      <c r="Q126" t="str">
        <f>P127</f>
        <v>C1</v>
      </c>
      <c r="R126" t="s">
        <v>307</v>
      </c>
    </row>
    <row r="127" spans="1:18" x14ac:dyDescent="0.25">
      <c r="C127">
        <v>76</v>
      </c>
      <c r="D127" t="s">
        <v>309</v>
      </c>
      <c r="F127">
        <v>56</v>
      </c>
      <c r="G127" t="s">
        <v>312</v>
      </c>
      <c r="I127">
        <v>63</v>
      </c>
      <c r="J127" t="s">
        <v>313</v>
      </c>
      <c r="L127">
        <v>45</v>
      </c>
      <c r="M127" t="s">
        <v>310</v>
      </c>
      <c r="O127">
        <v>76</v>
      </c>
      <c r="P127" t="s">
        <v>313</v>
      </c>
    </row>
    <row r="128" spans="1:18" x14ac:dyDescent="0.25">
      <c r="A128">
        <v>23605950</v>
      </c>
      <c r="B128" t="s">
        <v>378</v>
      </c>
      <c r="C128">
        <v>301</v>
      </c>
      <c r="D128">
        <f>C129</f>
        <v>93</v>
      </c>
      <c r="E128" t="str">
        <f>D129</f>
        <v>A1</v>
      </c>
      <c r="F128">
        <v>42</v>
      </c>
      <c r="G128">
        <f>F129</f>
        <v>82</v>
      </c>
      <c r="H128" t="str">
        <f>G129</f>
        <v>A2</v>
      </c>
      <c r="I128">
        <v>43</v>
      </c>
      <c r="J128">
        <f>I129</f>
        <v>93</v>
      </c>
      <c r="K128" t="str">
        <f>J129</f>
        <v>A1</v>
      </c>
      <c r="L128">
        <v>41</v>
      </c>
      <c r="M128">
        <f>L129</f>
        <v>63</v>
      </c>
      <c r="N128" t="str">
        <f>M129</f>
        <v>B2</v>
      </c>
      <c r="O128">
        <v>48</v>
      </c>
      <c r="P128">
        <f>O129</f>
        <v>95</v>
      </c>
      <c r="Q128" t="str">
        <f>P129</f>
        <v>A1</v>
      </c>
      <c r="R128" t="s">
        <v>307</v>
      </c>
    </row>
    <row r="129" spans="1:18" x14ac:dyDescent="0.25">
      <c r="C129">
        <v>93</v>
      </c>
      <c r="D129" t="s">
        <v>305</v>
      </c>
      <c r="F129">
        <v>82</v>
      </c>
      <c r="G129" t="s">
        <v>306</v>
      </c>
      <c r="I129">
        <v>93</v>
      </c>
      <c r="J129" t="s">
        <v>305</v>
      </c>
      <c r="L129">
        <v>63</v>
      </c>
      <c r="M129" t="s">
        <v>309</v>
      </c>
      <c r="O129">
        <v>95</v>
      </c>
      <c r="P129" t="s">
        <v>305</v>
      </c>
    </row>
    <row r="130" spans="1:18" x14ac:dyDescent="0.25">
      <c r="A130">
        <v>23605951</v>
      </c>
      <c r="B130" t="s">
        <v>379</v>
      </c>
      <c r="C130">
        <v>301</v>
      </c>
      <c r="D130">
        <f>C131</f>
        <v>94</v>
      </c>
      <c r="E130" t="str">
        <f>D131</f>
        <v>A1</v>
      </c>
      <c r="F130">
        <v>42</v>
      </c>
      <c r="G130">
        <f>F131</f>
        <v>91</v>
      </c>
      <c r="H130" t="str">
        <f>G131</f>
        <v>A1</v>
      </c>
      <c r="I130">
        <v>43</v>
      </c>
      <c r="J130">
        <f>I131</f>
        <v>88</v>
      </c>
      <c r="K130" t="str">
        <f>J131</f>
        <v>A2</v>
      </c>
      <c r="L130">
        <v>41</v>
      </c>
      <c r="M130">
        <f>L131</f>
        <v>68</v>
      </c>
      <c r="N130" t="str">
        <f>M131</f>
        <v>B1</v>
      </c>
      <c r="O130">
        <v>30</v>
      </c>
      <c r="P130">
        <f>O131</f>
        <v>91</v>
      </c>
      <c r="Q130" t="str">
        <f>P131</f>
        <v>A1</v>
      </c>
      <c r="R130" t="s">
        <v>307</v>
      </c>
    </row>
    <row r="131" spans="1:18" x14ac:dyDescent="0.25">
      <c r="C131">
        <v>94</v>
      </c>
      <c r="D131" t="s">
        <v>305</v>
      </c>
      <c r="F131">
        <v>91</v>
      </c>
      <c r="G131" t="s">
        <v>305</v>
      </c>
      <c r="I131">
        <v>88</v>
      </c>
      <c r="J131" t="s">
        <v>306</v>
      </c>
      <c r="L131">
        <v>68</v>
      </c>
      <c r="M131" t="s">
        <v>308</v>
      </c>
      <c r="O131">
        <v>91</v>
      </c>
      <c r="P131" t="s">
        <v>305</v>
      </c>
    </row>
    <row r="132" spans="1:18" x14ac:dyDescent="0.25">
      <c r="G132">
        <f>F133</f>
        <v>302</v>
      </c>
      <c r="H132">
        <f>G133</f>
        <v>82</v>
      </c>
      <c r="J132">
        <f>I133</f>
        <v>42</v>
      </c>
      <c r="K132">
        <f>J133</f>
        <v>84</v>
      </c>
    </row>
    <row r="133" spans="1:18" x14ac:dyDescent="0.25">
      <c r="A133">
        <v>23605952</v>
      </c>
      <c r="B133" t="s">
        <v>380</v>
      </c>
      <c r="C133">
        <v>301</v>
      </c>
      <c r="D133">
        <f>C134</f>
        <v>92</v>
      </c>
      <c r="E133" t="str">
        <f>D134</f>
        <v>A1</v>
      </c>
      <c r="F133">
        <v>302</v>
      </c>
      <c r="G133">
        <f>F134</f>
        <v>82</v>
      </c>
      <c r="H133" t="str">
        <f>G134</f>
        <v>B1</v>
      </c>
      <c r="I133">
        <v>42</v>
      </c>
      <c r="J133">
        <f>I134</f>
        <v>84</v>
      </c>
      <c r="K133" t="str">
        <f>J134</f>
        <v>A2</v>
      </c>
      <c r="L133">
        <v>43</v>
      </c>
      <c r="M133">
        <f>L134</f>
        <v>91</v>
      </c>
      <c r="N133" t="str">
        <f>M134</f>
        <v>A1</v>
      </c>
      <c r="O133">
        <v>44</v>
      </c>
      <c r="P133">
        <f>O134</f>
        <v>88</v>
      </c>
      <c r="Q133" t="str">
        <f>P134</f>
        <v>A2</v>
      </c>
      <c r="R133" t="s">
        <v>307</v>
      </c>
    </row>
    <row r="134" spans="1:18" x14ac:dyDescent="0.25">
      <c r="C134">
        <v>92</v>
      </c>
      <c r="D134" t="s">
        <v>305</v>
      </c>
      <c r="F134">
        <v>82</v>
      </c>
      <c r="G134" t="s">
        <v>308</v>
      </c>
      <c r="I134">
        <v>84</v>
      </c>
      <c r="J134" t="s">
        <v>306</v>
      </c>
      <c r="L134">
        <v>91</v>
      </c>
      <c r="M134" t="s">
        <v>305</v>
      </c>
      <c r="O134">
        <v>88</v>
      </c>
      <c r="P134" t="s">
        <v>306</v>
      </c>
    </row>
    <row r="135" spans="1:18" x14ac:dyDescent="0.25">
      <c r="A135">
        <v>23605953</v>
      </c>
      <c r="B135" t="s">
        <v>381</v>
      </c>
      <c r="C135">
        <v>301</v>
      </c>
      <c r="D135">
        <f>C136</f>
        <v>95</v>
      </c>
      <c r="E135" t="str">
        <f>D136</f>
        <v>A1</v>
      </c>
      <c r="F135">
        <v>42</v>
      </c>
      <c r="G135">
        <f>F136</f>
        <v>87</v>
      </c>
      <c r="H135" t="str">
        <f>G136</f>
        <v>A1</v>
      </c>
      <c r="I135">
        <v>43</v>
      </c>
      <c r="J135">
        <f>I136</f>
        <v>95</v>
      </c>
      <c r="K135" t="str">
        <f>J136</f>
        <v>A1</v>
      </c>
      <c r="L135">
        <v>41</v>
      </c>
      <c r="M135">
        <f>L136</f>
        <v>79</v>
      </c>
      <c r="N135" t="str">
        <f>M136</f>
        <v>A2</v>
      </c>
      <c r="O135">
        <v>83</v>
      </c>
      <c r="P135">
        <f>O136</f>
        <v>93</v>
      </c>
      <c r="Q135" t="str">
        <f>P136</f>
        <v>A2</v>
      </c>
      <c r="R135" t="s">
        <v>307</v>
      </c>
    </row>
    <row r="136" spans="1:18" x14ac:dyDescent="0.25">
      <c r="C136">
        <v>95</v>
      </c>
      <c r="D136" t="s">
        <v>305</v>
      </c>
      <c r="F136">
        <v>87</v>
      </c>
      <c r="G136" t="s">
        <v>305</v>
      </c>
      <c r="I136">
        <v>95</v>
      </c>
      <c r="J136" t="s">
        <v>305</v>
      </c>
      <c r="L136">
        <v>79</v>
      </c>
      <c r="M136" t="s">
        <v>306</v>
      </c>
      <c r="O136">
        <v>93</v>
      </c>
      <c r="P136" t="s">
        <v>306</v>
      </c>
    </row>
    <row r="137" spans="1:18" x14ac:dyDescent="0.25">
      <c r="A137">
        <v>23605954</v>
      </c>
      <c r="B137" t="s">
        <v>382</v>
      </c>
      <c r="C137">
        <v>301</v>
      </c>
      <c r="D137">
        <f>C138</f>
        <v>98</v>
      </c>
      <c r="E137" t="str">
        <f>D138</f>
        <v>A1</v>
      </c>
      <c r="F137">
        <v>42</v>
      </c>
      <c r="G137">
        <f>F138</f>
        <v>60</v>
      </c>
      <c r="H137" t="str">
        <f>G138</f>
        <v>C2</v>
      </c>
      <c r="I137">
        <v>43</v>
      </c>
      <c r="J137">
        <f>I138</f>
        <v>63</v>
      </c>
      <c r="K137" t="str">
        <f>J138</f>
        <v>C1</v>
      </c>
      <c r="L137">
        <v>41</v>
      </c>
      <c r="M137">
        <f>L138</f>
        <v>55</v>
      </c>
      <c r="N137" t="str">
        <f>M138</f>
        <v>C1</v>
      </c>
      <c r="O137">
        <v>83</v>
      </c>
      <c r="P137">
        <f>O138</f>
        <v>80</v>
      </c>
      <c r="Q137" t="str">
        <f>P138</f>
        <v>B2</v>
      </c>
      <c r="R137" t="s">
        <v>307</v>
      </c>
    </row>
    <row r="138" spans="1:18" x14ac:dyDescent="0.25">
      <c r="C138">
        <v>98</v>
      </c>
      <c r="D138" t="s">
        <v>305</v>
      </c>
      <c r="F138">
        <v>60</v>
      </c>
      <c r="G138" t="s">
        <v>312</v>
      </c>
      <c r="I138">
        <v>63</v>
      </c>
      <c r="J138" t="s">
        <v>313</v>
      </c>
      <c r="L138">
        <v>55</v>
      </c>
      <c r="M138" t="s">
        <v>313</v>
      </c>
      <c r="O138">
        <v>80</v>
      </c>
      <c r="P138" t="s">
        <v>309</v>
      </c>
    </row>
    <row r="139" spans="1:18" x14ac:dyDescent="0.25">
      <c r="A139">
        <v>23605955</v>
      </c>
      <c r="B139" t="s">
        <v>383</v>
      </c>
      <c r="C139">
        <v>301</v>
      </c>
      <c r="D139">
        <f>C140</f>
        <v>95</v>
      </c>
      <c r="E139" t="str">
        <f>D140</f>
        <v>A1</v>
      </c>
      <c r="F139">
        <v>42</v>
      </c>
      <c r="G139">
        <f>F140</f>
        <v>82</v>
      </c>
      <c r="H139" t="str">
        <f>G140</f>
        <v>A2</v>
      </c>
      <c r="I139">
        <v>43</v>
      </c>
      <c r="J139">
        <f>I140</f>
        <v>63</v>
      </c>
      <c r="K139" t="str">
        <f>J140</f>
        <v>C1</v>
      </c>
      <c r="L139">
        <v>41</v>
      </c>
      <c r="M139">
        <f>L140</f>
        <v>60</v>
      </c>
      <c r="N139" t="str">
        <f>M140</f>
        <v>B2</v>
      </c>
      <c r="O139">
        <v>34</v>
      </c>
      <c r="P139">
        <f>O140</f>
        <v>99</v>
      </c>
      <c r="Q139" t="str">
        <f>P140</f>
        <v>A1</v>
      </c>
      <c r="R139" t="s">
        <v>307</v>
      </c>
    </row>
    <row r="140" spans="1:18" x14ac:dyDescent="0.25">
      <c r="C140">
        <v>95</v>
      </c>
      <c r="D140" t="s">
        <v>305</v>
      </c>
      <c r="F140">
        <v>82</v>
      </c>
      <c r="G140" t="s">
        <v>306</v>
      </c>
      <c r="I140">
        <v>63</v>
      </c>
      <c r="J140" t="s">
        <v>313</v>
      </c>
      <c r="L140">
        <v>60</v>
      </c>
      <c r="M140" t="s">
        <v>309</v>
      </c>
      <c r="O140">
        <v>99</v>
      </c>
      <c r="P140" t="s">
        <v>305</v>
      </c>
    </row>
    <row r="141" spans="1:18" x14ac:dyDescent="0.25">
      <c r="A141">
        <v>23605956</v>
      </c>
      <c r="B141" t="s">
        <v>384</v>
      </c>
      <c r="C141">
        <v>301</v>
      </c>
      <c r="D141">
        <f>C142</f>
        <v>94</v>
      </c>
      <c r="E141" t="str">
        <f>D142</f>
        <v>A1</v>
      </c>
      <c r="F141">
        <v>42</v>
      </c>
      <c r="G141">
        <f>F142</f>
        <v>88</v>
      </c>
      <c r="H141" t="str">
        <f>G142</f>
        <v>A1</v>
      </c>
      <c r="I141">
        <v>43</v>
      </c>
      <c r="J141">
        <f>I142</f>
        <v>85</v>
      </c>
      <c r="K141" t="str">
        <f>J142</f>
        <v>A2</v>
      </c>
      <c r="L141">
        <v>44</v>
      </c>
      <c r="M141">
        <f>L142</f>
        <v>86</v>
      </c>
      <c r="N141" t="str">
        <f>M142</f>
        <v>A2</v>
      </c>
      <c r="O141">
        <v>37</v>
      </c>
      <c r="P141">
        <f>O142</f>
        <v>95</v>
      </c>
      <c r="Q141" t="str">
        <f>P142</f>
        <v>A1</v>
      </c>
      <c r="R141" t="s">
        <v>307</v>
      </c>
    </row>
    <row r="142" spans="1:18" x14ac:dyDescent="0.25">
      <c r="C142">
        <v>94</v>
      </c>
      <c r="D142" t="s">
        <v>305</v>
      </c>
      <c r="F142">
        <v>88</v>
      </c>
      <c r="G142" t="s">
        <v>305</v>
      </c>
      <c r="I142">
        <v>85</v>
      </c>
      <c r="J142" t="s">
        <v>306</v>
      </c>
      <c r="L142">
        <v>86</v>
      </c>
      <c r="M142" t="s">
        <v>306</v>
      </c>
      <c r="O142">
        <v>95</v>
      </c>
      <c r="P142" t="s">
        <v>305</v>
      </c>
    </row>
    <row r="143" spans="1:18" x14ac:dyDescent="0.25">
      <c r="A143">
        <v>23605957</v>
      </c>
      <c r="B143" t="s">
        <v>385</v>
      </c>
      <c r="C143">
        <v>301</v>
      </c>
      <c r="D143">
        <f>C144</f>
        <v>96</v>
      </c>
      <c r="E143" t="str">
        <f>D144</f>
        <v>A1</v>
      </c>
      <c r="F143">
        <v>42</v>
      </c>
      <c r="G143">
        <f>F144</f>
        <v>78</v>
      </c>
      <c r="H143" t="str">
        <f>G144</f>
        <v>A2</v>
      </c>
      <c r="I143">
        <v>43</v>
      </c>
      <c r="J143">
        <f>I144</f>
        <v>95</v>
      </c>
      <c r="K143" t="str">
        <f>J144</f>
        <v>A1</v>
      </c>
      <c r="L143">
        <v>41</v>
      </c>
      <c r="M143">
        <f>L144</f>
        <v>63</v>
      </c>
      <c r="N143" t="str">
        <f>M144</f>
        <v>B2</v>
      </c>
      <c r="O143">
        <v>83</v>
      </c>
      <c r="P143">
        <f>O144</f>
        <v>91</v>
      </c>
      <c r="Q143" t="str">
        <f>P144</f>
        <v>A2</v>
      </c>
      <c r="R143" t="s">
        <v>307</v>
      </c>
    </row>
    <row r="144" spans="1:18" x14ac:dyDescent="0.25">
      <c r="C144">
        <v>96</v>
      </c>
      <c r="D144" t="s">
        <v>305</v>
      </c>
      <c r="F144">
        <v>78</v>
      </c>
      <c r="G144" t="s">
        <v>306</v>
      </c>
      <c r="I144">
        <v>95</v>
      </c>
      <c r="J144" t="s">
        <v>305</v>
      </c>
      <c r="L144">
        <v>63</v>
      </c>
      <c r="M144" t="s">
        <v>309</v>
      </c>
      <c r="O144">
        <v>91</v>
      </c>
      <c r="P144" t="s">
        <v>306</v>
      </c>
    </row>
    <row r="145" spans="1:18" x14ac:dyDescent="0.25">
      <c r="A145">
        <v>23605958</v>
      </c>
      <c r="B145" t="s">
        <v>386</v>
      </c>
      <c r="C145">
        <v>301</v>
      </c>
      <c r="D145">
        <f>C146</f>
        <v>78</v>
      </c>
      <c r="E145" t="str">
        <f>D146</f>
        <v>B2</v>
      </c>
      <c r="F145">
        <v>55</v>
      </c>
      <c r="G145">
        <f>F146</f>
        <v>39</v>
      </c>
      <c r="H145" t="str">
        <f>G146</f>
        <v>D2</v>
      </c>
      <c r="I145">
        <v>54</v>
      </c>
      <c r="J145">
        <f>I146</f>
        <v>54</v>
      </c>
      <c r="K145" t="str">
        <f>J146</f>
        <v>C2</v>
      </c>
      <c r="L145">
        <v>41</v>
      </c>
      <c r="M145">
        <f>L146</f>
        <v>28</v>
      </c>
      <c r="N145" t="str">
        <f>M146</f>
        <v>E</v>
      </c>
      <c r="O145">
        <v>30</v>
      </c>
      <c r="P145">
        <f>O146</f>
        <v>59</v>
      </c>
      <c r="Q145" t="str">
        <f>P146</f>
        <v>C2</v>
      </c>
      <c r="R145" t="s">
        <v>327</v>
      </c>
    </row>
    <row r="146" spans="1:18" x14ac:dyDescent="0.25">
      <c r="C146">
        <v>78</v>
      </c>
      <c r="D146" t="s">
        <v>309</v>
      </c>
      <c r="F146">
        <v>39</v>
      </c>
      <c r="G146" t="s">
        <v>310</v>
      </c>
      <c r="I146">
        <v>54</v>
      </c>
      <c r="J146" t="s">
        <v>312</v>
      </c>
      <c r="L146">
        <v>28</v>
      </c>
      <c r="M146" t="s">
        <v>311</v>
      </c>
      <c r="O146">
        <v>59</v>
      </c>
      <c r="P146" t="s">
        <v>312</v>
      </c>
    </row>
    <row r="147" spans="1:18" x14ac:dyDescent="0.25">
      <c r="A147">
        <v>23605959</v>
      </c>
      <c r="B147" t="s">
        <v>387</v>
      </c>
      <c r="C147">
        <v>301</v>
      </c>
      <c r="D147">
        <f>C148</f>
        <v>89</v>
      </c>
      <c r="E147" t="str">
        <f>D148</f>
        <v>A2</v>
      </c>
      <c r="F147">
        <v>55</v>
      </c>
      <c r="G147">
        <f>F148</f>
        <v>23</v>
      </c>
      <c r="H147" t="str">
        <f>G148</f>
        <v>E</v>
      </c>
      <c r="I147">
        <v>54</v>
      </c>
      <c r="J147">
        <f>I148</f>
        <v>63</v>
      </c>
      <c r="K147" t="str">
        <f>J148</f>
        <v>C1</v>
      </c>
      <c r="L147">
        <v>37</v>
      </c>
      <c r="M147">
        <f>L148</f>
        <v>54</v>
      </c>
      <c r="N147" t="str">
        <f>M148</f>
        <v>D2</v>
      </c>
      <c r="O147">
        <v>30</v>
      </c>
      <c r="P147">
        <f>O148</f>
        <v>81</v>
      </c>
      <c r="Q147" t="str">
        <f>P148</f>
        <v>A2</v>
      </c>
      <c r="R147" t="s">
        <v>388</v>
      </c>
    </row>
    <row r="148" spans="1:18" x14ac:dyDescent="0.25">
      <c r="C148">
        <v>89</v>
      </c>
      <c r="D148" t="s">
        <v>306</v>
      </c>
      <c r="F148">
        <v>23</v>
      </c>
      <c r="G148" t="s">
        <v>311</v>
      </c>
      <c r="I148">
        <v>63</v>
      </c>
      <c r="J148" t="s">
        <v>313</v>
      </c>
      <c r="L148">
        <v>54</v>
      </c>
      <c r="M148" t="s">
        <v>310</v>
      </c>
      <c r="O148">
        <v>81</v>
      </c>
      <c r="P148" t="s">
        <v>306</v>
      </c>
    </row>
    <row r="149" spans="1:18" x14ac:dyDescent="0.25">
      <c r="A149">
        <v>23605960</v>
      </c>
      <c r="B149" t="s">
        <v>389</v>
      </c>
      <c r="C149">
        <v>301</v>
      </c>
      <c r="D149">
        <f>C150</f>
        <v>90</v>
      </c>
      <c r="E149" t="str">
        <f>D150</f>
        <v>A2</v>
      </c>
      <c r="F149">
        <v>55</v>
      </c>
      <c r="G149">
        <f>F150</f>
        <v>58</v>
      </c>
      <c r="H149" t="str">
        <f>G150</f>
        <v>C1</v>
      </c>
      <c r="I149">
        <v>54</v>
      </c>
      <c r="J149">
        <f>I150</f>
        <v>80</v>
      </c>
      <c r="K149" t="str">
        <f>J150</f>
        <v>B1</v>
      </c>
      <c r="L149">
        <v>49</v>
      </c>
      <c r="M149">
        <f>L150</f>
        <v>93</v>
      </c>
      <c r="N149" t="str">
        <f>M150</f>
        <v>B1</v>
      </c>
      <c r="O149">
        <v>30</v>
      </c>
      <c r="P149">
        <f>O150</f>
        <v>78</v>
      </c>
      <c r="Q149" t="str">
        <f>P150</f>
        <v>B1</v>
      </c>
      <c r="R149" t="s">
        <v>307</v>
      </c>
    </row>
    <row r="150" spans="1:18" x14ac:dyDescent="0.25">
      <c r="C150">
        <v>90</v>
      </c>
      <c r="D150" t="s">
        <v>306</v>
      </c>
      <c r="F150">
        <v>58</v>
      </c>
      <c r="G150" t="s">
        <v>313</v>
      </c>
      <c r="I150">
        <v>80</v>
      </c>
      <c r="J150" t="s">
        <v>308</v>
      </c>
      <c r="L150">
        <v>93</v>
      </c>
      <c r="M150" t="s">
        <v>308</v>
      </c>
      <c r="O150">
        <v>78</v>
      </c>
      <c r="P150" t="s">
        <v>308</v>
      </c>
    </row>
    <row r="151" spans="1:18" x14ac:dyDescent="0.25">
      <c r="A151">
        <v>23605961</v>
      </c>
      <c r="B151" t="s">
        <v>390</v>
      </c>
      <c r="C151">
        <v>301</v>
      </c>
      <c r="D151">
        <f>C152</f>
        <v>89</v>
      </c>
      <c r="E151" t="str">
        <f>D152</f>
        <v>A2</v>
      </c>
      <c r="F151">
        <v>55</v>
      </c>
      <c r="G151">
        <f>F152</f>
        <v>79</v>
      </c>
      <c r="H151" t="str">
        <f>G152</f>
        <v>B1</v>
      </c>
      <c r="I151">
        <v>54</v>
      </c>
      <c r="J151">
        <f>I152</f>
        <v>93</v>
      </c>
      <c r="K151" t="str">
        <f>J152</f>
        <v>A1</v>
      </c>
      <c r="L151">
        <v>37</v>
      </c>
      <c r="M151">
        <f>L152</f>
        <v>84</v>
      </c>
      <c r="N151" t="str">
        <f>M152</f>
        <v>B1</v>
      </c>
      <c r="O151">
        <v>30</v>
      </c>
      <c r="P151">
        <f>O152</f>
        <v>83</v>
      </c>
      <c r="Q151" t="str">
        <f>P152</f>
        <v>A2</v>
      </c>
      <c r="R151" t="s">
        <v>307</v>
      </c>
    </row>
    <row r="152" spans="1:18" x14ac:dyDescent="0.25">
      <c r="C152">
        <v>89</v>
      </c>
      <c r="D152" t="s">
        <v>306</v>
      </c>
      <c r="F152">
        <v>79</v>
      </c>
      <c r="G152" t="s">
        <v>308</v>
      </c>
      <c r="I152">
        <v>93</v>
      </c>
      <c r="J152" t="s">
        <v>305</v>
      </c>
      <c r="L152">
        <v>84</v>
      </c>
      <c r="M152" t="s">
        <v>308</v>
      </c>
      <c r="O152">
        <v>83</v>
      </c>
      <c r="P152" t="s">
        <v>306</v>
      </c>
    </row>
    <row r="153" spans="1:18" x14ac:dyDescent="0.25">
      <c r="D153">
        <f>C154</f>
        <v>301</v>
      </c>
      <c r="E153">
        <f>D154</f>
        <v>83</v>
      </c>
      <c r="J153">
        <f>I154</f>
        <v>54</v>
      </c>
      <c r="K153">
        <f>J154</f>
        <v>90</v>
      </c>
      <c r="M153">
        <f>L154</f>
        <v>41</v>
      </c>
      <c r="N153">
        <f>M154</f>
        <v>62</v>
      </c>
      <c r="P153">
        <f>O154</f>
        <v>30</v>
      </c>
      <c r="Q153">
        <f>P154</f>
        <v>92</v>
      </c>
    </row>
    <row r="154" spans="1:18" x14ac:dyDescent="0.25">
      <c r="A154">
        <v>23605962</v>
      </c>
      <c r="B154" t="s">
        <v>391</v>
      </c>
      <c r="C154">
        <v>301</v>
      </c>
      <c r="D154">
        <f>C155</f>
        <v>83</v>
      </c>
      <c r="E154" t="str">
        <f>D155</f>
        <v>B1</v>
      </c>
      <c r="F154">
        <v>55</v>
      </c>
      <c r="G154">
        <f>F155</f>
        <v>95</v>
      </c>
      <c r="H154" t="str">
        <f>G155</f>
        <v>A1</v>
      </c>
      <c r="I154">
        <v>54</v>
      </c>
      <c r="J154">
        <f>I155</f>
        <v>90</v>
      </c>
      <c r="K154" t="str">
        <f>J155</f>
        <v>A1</v>
      </c>
      <c r="L154">
        <v>41</v>
      </c>
      <c r="M154">
        <f>L155</f>
        <v>62</v>
      </c>
      <c r="N154" t="str">
        <f>M155</f>
        <v>B2</v>
      </c>
      <c r="O154">
        <v>30</v>
      </c>
      <c r="P154">
        <f>O155</f>
        <v>92</v>
      </c>
      <c r="Q154" t="str">
        <f>P155</f>
        <v>A1</v>
      </c>
      <c r="R154" t="s">
        <v>307</v>
      </c>
    </row>
    <row r="155" spans="1:18" x14ac:dyDescent="0.25">
      <c r="C155">
        <v>83</v>
      </c>
      <c r="D155" t="s">
        <v>308</v>
      </c>
      <c r="F155">
        <v>95</v>
      </c>
      <c r="G155" t="s">
        <v>305</v>
      </c>
      <c r="I155">
        <v>90</v>
      </c>
      <c r="J155" t="s">
        <v>305</v>
      </c>
      <c r="L155">
        <v>62</v>
      </c>
      <c r="M155" t="s">
        <v>309</v>
      </c>
      <c r="O155">
        <v>92</v>
      </c>
      <c r="P155" t="s">
        <v>305</v>
      </c>
    </row>
    <row r="156" spans="1:18" x14ac:dyDescent="0.25">
      <c r="A156">
        <v>23605963</v>
      </c>
      <c r="B156" t="s">
        <v>392</v>
      </c>
      <c r="C156">
        <v>301</v>
      </c>
      <c r="D156">
        <f>C157</f>
        <v>95</v>
      </c>
      <c r="E156" t="str">
        <f>D157</f>
        <v>A1</v>
      </c>
      <c r="F156">
        <v>55</v>
      </c>
      <c r="G156">
        <f>F157</f>
        <v>76</v>
      </c>
      <c r="H156" t="str">
        <f>G157</f>
        <v>B1</v>
      </c>
      <c r="I156">
        <v>54</v>
      </c>
      <c r="J156">
        <f>I157</f>
        <v>90</v>
      </c>
      <c r="K156" t="str">
        <f>J157</f>
        <v>A1</v>
      </c>
      <c r="L156">
        <v>41</v>
      </c>
      <c r="M156">
        <f>L157</f>
        <v>48</v>
      </c>
      <c r="N156" t="str">
        <f>M157</f>
        <v>D1</v>
      </c>
      <c r="O156">
        <v>30</v>
      </c>
      <c r="P156">
        <f>O157</f>
        <v>82</v>
      </c>
      <c r="Q156" t="str">
        <f>P157</f>
        <v>A2</v>
      </c>
      <c r="R156" t="s">
        <v>307</v>
      </c>
    </row>
    <row r="157" spans="1:18" x14ac:dyDescent="0.25">
      <c r="C157">
        <v>95</v>
      </c>
      <c r="D157" t="s">
        <v>305</v>
      </c>
      <c r="F157">
        <v>76</v>
      </c>
      <c r="G157" t="s">
        <v>308</v>
      </c>
      <c r="I157">
        <v>90</v>
      </c>
      <c r="J157" t="s">
        <v>305</v>
      </c>
      <c r="L157">
        <v>48</v>
      </c>
      <c r="M157" t="s">
        <v>314</v>
      </c>
      <c r="O157">
        <v>82</v>
      </c>
      <c r="P157" t="s">
        <v>306</v>
      </c>
    </row>
    <row r="158" spans="1:18" x14ac:dyDescent="0.25">
      <c r="A158">
        <v>23605964</v>
      </c>
      <c r="B158" t="s">
        <v>393</v>
      </c>
      <c r="C158">
        <v>301</v>
      </c>
      <c r="D158">
        <f>C159</f>
        <v>80</v>
      </c>
      <c r="E158" t="str">
        <f>D159</f>
        <v>B2</v>
      </c>
      <c r="F158">
        <v>55</v>
      </c>
      <c r="G158">
        <f>F159</f>
        <v>51</v>
      </c>
      <c r="H158" t="str">
        <f>G159</f>
        <v>C2</v>
      </c>
      <c r="I158">
        <v>54</v>
      </c>
      <c r="J158">
        <f>I159</f>
        <v>68</v>
      </c>
      <c r="K158" t="str">
        <f>J159</f>
        <v>B2</v>
      </c>
      <c r="L158">
        <v>49</v>
      </c>
      <c r="M158">
        <f>L159</f>
        <v>92</v>
      </c>
      <c r="N158" t="str">
        <f>M159</f>
        <v>B1</v>
      </c>
      <c r="O158">
        <v>83</v>
      </c>
      <c r="P158">
        <f>O159</f>
        <v>69</v>
      </c>
      <c r="Q158" t="str">
        <f>P159</f>
        <v>C2</v>
      </c>
      <c r="R158" t="s">
        <v>307</v>
      </c>
    </row>
    <row r="159" spans="1:18" x14ac:dyDescent="0.25">
      <c r="C159">
        <v>80</v>
      </c>
      <c r="D159" t="s">
        <v>309</v>
      </c>
      <c r="F159">
        <v>51</v>
      </c>
      <c r="G159" t="s">
        <v>312</v>
      </c>
      <c r="I159">
        <v>68</v>
      </c>
      <c r="J159" t="s">
        <v>309</v>
      </c>
      <c r="L159">
        <v>92</v>
      </c>
      <c r="M159" t="s">
        <v>308</v>
      </c>
      <c r="O159">
        <v>69</v>
      </c>
      <c r="P159" t="s">
        <v>312</v>
      </c>
    </row>
    <row r="160" spans="1:18" x14ac:dyDescent="0.25">
      <c r="A160">
        <v>23605965</v>
      </c>
      <c r="B160" t="s">
        <v>394</v>
      </c>
      <c r="C160">
        <v>301</v>
      </c>
      <c r="D160">
        <f>C161</f>
        <v>73</v>
      </c>
      <c r="E160" t="str">
        <f>D161</f>
        <v>C1</v>
      </c>
      <c r="F160">
        <v>55</v>
      </c>
      <c r="G160">
        <f>F161</f>
        <v>37</v>
      </c>
      <c r="H160" t="str">
        <f>G161</f>
        <v>D2</v>
      </c>
      <c r="I160">
        <v>54</v>
      </c>
      <c r="J160">
        <f>I161</f>
        <v>57</v>
      </c>
      <c r="K160" t="str">
        <f>J161</f>
        <v>C2</v>
      </c>
      <c r="L160">
        <v>37</v>
      </c>
      <c r="M160">
        <f>L161</f>
        <v>60</v>
      </c>
      <c r="N160" t="str">
        <f>M161</f>
        <v>D1</v>
      </c>
      <c r="O160">
        <v>34</v>
      </c>
      <c r="P160">
        <f>O161</f>
        <v>96</v>
      </c>
      <c r="Q160" t="str">
        <f>P161</f>
        <v>A2</v>
      </c>
      <c r="R160" t="s">
        <v>307</v>
      </c>
    </row>
    <row r="161" spans="1:18" x14ac:dyDescent="0.25">
      <c r="C161">
        <v>73</v>
      </c>
      <c r="D161" t="s">
        <v>313</v>
      </c>
      <c r="F161">
        <v>37</v>
      </c>
      <c r="G161" t="s">
        <v>310</v>
      </c>
      <c r="I161">
        <v>57</v>
      </c>
      <c r="J161" t="s">
        <v>312</v>
      </c>
      <c r="L161">
        <v>60</v>
      </c>
      <c r="M161" t="s">
        <v>314</v>
      </c>
      <c r="O161">
        <v>96</v>
      </c>
      <c r="P161" t="s">
        <v>306</v>
      </c>
    </row>
    <row r="162" spans="1:18" x14ac:dyDescent="0.25">
      <c r="A162">
        <v>23605966</v>
      </c>
      <c r="B162" t="s">
        <v>395</v>
      </c>
      <c r="C162">
        <v>301</v>
      </c>
      <c r="D162">
        <f>C163</f>
        <v>92</v>
      </c>
      <c r="E162" t="str">
        <f>D163</f>
        <v>A1</v>
      </c>
      <c r="F162">
        <v>55</v>
      </c>
      <c r="G162">
        <f>F163</f>
        <v>66</v>
      </c>
      <c r="H162" t="str">
        <f>G163</f>
        <v>B2</v>
      </c>
      <c r="I162">
        <v>54</v>
      </c>
      <c r="J162">
        <f>I163</f>
        <v>62</v>
      </c>
      <c r="K162" t="str">
        <f>J163</f>
        <v>C1</v>
      </c>
      <c r="L162">
        <v>49</v>
      </c>
      <c r="M162">
        <f>L163</f>
        <v>93</v>
      </c>
      <c r="N162" t="str">
        <f>M163</f>
        <v>B1</v>
      </c>
      <c r="O162">
        <v>30</v>
      </c>
      <c r="P162">
        <f>O163</f>
        <v>81</v>
      </c>
      <c r="Q162" t="str">
        <f>P163</f>
        <v>A2</v>
      </c>
      <c r="R162" t="s">
        <v>307</v>
      </c>
    </row>
    <row r="163" spans="1:18" x14ac:dyDescent="0.25">
      <c r="C163">
        <v>92</v>
      </c>
      <c r="D163" t="s">
        <v>305</v>
      </c>
      <c r="F163">
        <v>66</v>
      </c>
      <c r="G163" t="s">
        <v>309</v>
      </c>
      <c r="I163">
        <v>62</v>
      </c>
      <c r="J163" t="s">
        <v>313</v>
      </c>
      <c r="L163">
        <v>93</v>
      </c>
      <c r="M163" t="s">
        <v>308</v>
      </c>
      <c r="O163">
        <v>81</v>
      </c>
      <c r="P163" t="s">
        <v>306</v>
      </c>
    </row>
    <row r="164" spans="1:18" x14ac:dyDescent="0.25">
      <c r="A164">
        <v>23605967</v>
      </c>
      <c r="B164" t="s">
        <v>396</v>
      </c>
      <c r="C164">
        <v>301</v>
      </c>
      <c r="D164">
        <f>C165</f>
        <v>87</v>
      </c>
      <c r="E164" t="str">
        <f>D165</f>
        <v>A2</v>
      </c>
      <c r="F164">
        <v>55</v>
      </c>
      <c r="G164">
        <f>F165</f>
        <v>95</v>
      </c>
      <c r="H164" t="str">
        <f>G165</f>
        <v>A1</v>
      </c>
      <c r="I164">
        <v>54</v>
      </c>
      <c r="J164">
        <f>I165</f>
        <v>85</v>
      </c>
      <c r="K164" t="str">
        <f>J165</f>
        <v>A2</v>
      </c>
      <c r="L164">
        <v>37</v>
      </c>
      <c r="M164">
        <f>L165</f>
        <v>90</v>
      </c>
      <c r="N164" t="str">
        <f>M165</f>
        <v>A2</v>
      </c>
      <c r="O164">
        <v>30</v>
      </c>
      <c r="P164">
        <f>O165</f>
        <v>88</v>
      </c>
      <c r="Q164" t="str">
        <f>P165</f>
        <v>A2</v>
      </c>
      <c r="R164" t="s">
        <v>307</v>
      </c>
    </row>
    <row r="165" spans="1:18" x14ac:dyDescent="0.25">
      <c r="C165">
        <v>87</v>
      </c>
      <c r="D165" t="s">
        <v>306</v>
      </c>
      <c r="F165">
        <v>95</v>
      </c>
      <c r="G165" t="s">
        <v>305</v>
      </c>
      <c r="I165">
        <v>85</v>
      </c>
      <c r="J165" t="s">
        <v>306</v>
      </c>
      <c r="L165">
        <v>90</v>
      </c>
      <c r="M165" t="s">
        <v>306</v>
      </c>
      <c r="O165">
        <v>88</v>
      </c>
      <c r="P165" t="s">
        <v>306</v>
      </c>
    </row>
    <row r="166" spans="1:18" x14ac:dyDescent="0.25">
      <c r="A166">
        <v>23605968</v>
      </c>
      <c r="B166" t="s">
        <v>397</v>
      </c>
      <c r="C166">
        <v>301</v>
      </c>
      <c r="D166">
        <f>C167</f>
        <v>87</v>
      </c>
      <c r="E166" t="str">
        <f>D167</f>
        <v>A2</v>
      </c>
      <c r="F166">
        <v>55</v>
      </c>
      <c r="G166">
        <f>F167</f>
        <v>88</v>
      </c>
      <c r="H166" t="str">
        <f>G167</f>
        <v>A2</v>
      </c>
      <c r="I166">
        <v>54</v>
      </c>
      <c r="J166">
        <f>I167</f>
        <v>85</v>
      </c>
      <c r="K166" t="str">
        <f>J167</f>
        <v>A2</v>
      </c>
      <c r="L166">
        <v>41</v>
      </c>
      <c r="M166">
        <f>L167</f>
        <v>57</v>
      </c>
      <c r="N166" t="str">
        <f>M167</f>
        <v>C1</v>
      </c>
      <c r="O166">
        <v>30</v>
      </c>
      <c r="P166">
        <f>O167</f>
        <v>75</v>
      </c>
      <c r="Q166" t="str">
        <f>P167</f>
        <v>B1</v>
      </c>
      <c r="R166" t="s">
        <v>307</v>
      </c>
    </row>
    <row r="167" spans="1:18" x14ac:dyDescent="0.25">
      <c r="C167">
        <v>87</v>
      </c>
      <c r="D167" t="s">
        <v>306</v>
      </c>
      <c r="F167">
        <v>88</v>
      </c>
      <c r="G167" t="s">
        <v>306</v>
      </c>
      <c r="I167">
        <v>85</v>
      </c>
      <c r="J167" t="s">
        <v>306</v>
      </c>
      <c r="L167">
        <v>57</v>
      </c>
      <c r="M167" t="s">
        <v>313</v>
      </c>
      <c r="O167">
        <v>75</v>
      </c>
      <c r="P167" t="s">
        <v>308</v>
      </c>
    </row>
    <row r="168" spans="1:18" x14ac:dyDescent="0.25">
      <c r="A168">
        <v>23605969</v>
      </c>
      <c r="B168" t="s">
        <v>398</v>
      </c>
      <c r="C168">
        <v>301</v>
      </c>
      <c r="D168">
        <f>C169</f>
        <v>97</v>
      </c>
      <c r="E168" t="str">
        <f>D169</f>
        <v>A1</v>
      </c>
      <c r="F168">
        <v>55</v>
      </c>
      <c r="G168">
        <f>F169</f>
        <v>96</v>
      </c>
      <c r="H168" t="str">
        <f>G169</f>
        <v>A1</v>
      </c>
      <c r="I168">
        <v>54</v>
      </c>
      <c r="J168">
        <f>I169</f>
        <v>95</v>
      </c>
      <c r="K168" t="str">
        <f>J169</f>
        <v>A1</v>
      </c>
      <c r="L168">
        <v>41</v>
      </c>
      <c r="M168">
        <f>L169</f>
        <v>95</v>
      </c>
      <c r="N168" t="str">
        <f>M169</f>
        <v>A1</v>
      </c>
      <c r="O168">
        <v>30</v>
      </c>
      <c r="P168">
        <f>O169</f>
        <v>98</v>
      </c>
      <c r="Q168" t="str">
        <f>P169</f>
        <v>A1</v>
      </c>
      <c r="R168" t="s">
        <v>307</v>
      </c>
    </row>
    <row r="169" spans="1:18" x14ac:dyDescent="0.25">
      <c r="C169">
        <v>97</v>
      </c>
      <c r="D169" t="s">
        <v>305</v>
      </c>
      <c r="F169">
        <v>96</v>
      </c>
      <c r="G169" t="s">
        <v>305</v>
      </c>
      <c r="I169">
        <v>95</v>
      </c>
      <c r="J169" t="s">
        <v>305</v>
      </c>
      <c r="L169">
        <v>95</v>
      </c>
      <c r="M169" t="s">
        <v>305</v>
      </c>
      <c r="O169">
        <v>98</v>
      </c>
      <c r="P169" t="s">
        <v>305</v>
      </c>
    </row>
    <row r="170" spans="1:18" x14ac:dyDescent="0.25">
      <c r="A170">
        <v>23605970</v>
      </c>
      <c r="B170" t="s">
        <v>399</v>
      </c>
      <c r="C170">
        <v>301</v>
      </c>
      <c r="D170">
        <f>C171</f>
        <v>80</v>
      </c>
      <c r="E170" t="str">
        <f>D171</f>
        <v>B2</v>
      </c>
      <c r="F170">
        <v>55</v>
      </c>
      <c r="G170">
        <f>F171</f>
        <v>53</v>
      </c>
      <c r="H170" t="str">
        <f>G171</f>
        <v>C2</v>
      </c>
      <c r="I170">
        <v>54</v>
      </c>
      <c r="J170">
        <f>I171</f>
        <v>74</v>
      </c>
      <c r="K170" t="str">
        <f>J171</f>
        <v>B1</v>
      </c>
      <c r="L170">
        <v>37</v>
      </c>
      <c r="M170">
        <f>L171</f>
        <v>81</v>
      </c>
      <c r="N170" t="str">
        <f>M171</f>
        <v>B2</v>
      </c>
      <c r="O170">
        <v>30</v>
      </c>
      <c r="P170">
        <f>O171</f>
        <v>88</v>
      </c>
      <c r="Q170" t="str">
        <f>P171</f>
        <v>A2</v>
      </c>
      <c r="R170" t="s">
        <v>307</v>
      </c>
    </row>
    <row r="171" spans="1:18" x14ac:dyDescent="0.25">
      <c r="C171">
        <v>80</v>
      </c>
      <c r="D171" t="s">
        <v>309</v>
      </c>
      <c r="F171">
        <v>53</v>
      </c>
      <c r="G171" t="s">
        <v>312</v>
      </c>
      <c r="I171">
        <v>74</v>
      </c>
      <c r="J171" t="s">
        <v>308</v>
      </c>
      <c r="L171">
        <v>81</v>
      </c>
      <c r="M171" t="s">
        <v>309</v>
      </c>
      <c r="O171">
        <v>88</v>
      </c>
      <c r="P171" t="s">
        <v>306</v>
      </c>
    </row>
    <row r="172" spans="1:18" x14ac:dyDescent="0.25">
      <c r="A172">
        <v>23605971</v>
      </c>
      <c r="B172" t="s">
        <v>400</v>
      </c>
      <c r="C172">
        <v>301</v>
      </c>
      <c r="D172">
        <f>C173</f>
        <v>72</v>
      </c>
      <c r="E172" t="str">
        <f>D173</f>
        <v>C1</v>
      </c>
      <c r="F172">
        <v>55</v>
      </c>
      <c r="G172">
        <f>F173</f>
        <v>57</v>
      </c>
      <c r="H172" t="str">
        <f>G173</f>
        <v>C1</v>
      </c>
      <c r="I172">
        <v>54</v>
      </c>
      <c r="J172">
        <f>I173</f>
        <v>70</v>
      </c>
      <c r="K172" t="str">
        <f>J173</f>
        <v>B2</v>
      </c>
      <c r="L172">
        <v>37</v>
      </c>
      <c r="M172">
        <f>L173</f>
        <v>63</v>
      </c>
      <c r="N172" t="str">
        <f>M173</f>
        <v>C2</v>
      </c>
      <c r="O172">
        <v>30</v>
      </c>
      <c r="P172">
        <f>O173</f>
        <v>72</v>
      </c>
      <c r="Q172" t="str">
        <f>P173</f>
        <v>B2</v>
      </c>
      <c r="R172" t="s">
        <v>307</v>
      </c>
    </row>
    <row r="173" spans="1:18" x14ac:dyDescent="0.25">
      <c r="C173">
        <v>72</v>
      </c>
      <c r="D173" t="s">
        <v>313</v>
      </c>
      <c r="F173">
        <v>57</v>
      </c>
      <c r="G173" t="s">
        <v>313</v>
      </c>
      <c r="I173">
        <v>70</v>
      </c>
      <c r="J173" t="s">
        <v>309</v>
      </c>
      <c r="L173">
        <v>63</v>
      </c>
      <c r="M173" t="s">
        <v>312</v>
      </c>
      <c r="O173">
        <v>72</v>
      </c>
      <c r="P173" t="s">
        <v>309</v>
      </c>
    </row>
    <row r="175" spans="1:18" x14ac:dyDescent="0.25">
      <c r="A175">
        <v>23605972</v>
      </c>
      <c r="B175" t="s">
        <v>401</v>
      </c>
      <c r="C175">
        <v>301</v>
      </c>
      <c r="D175">
        <f>C176</f>
        <v>97</v>
      </c>
      <c r="E175" t="str">
        <f>D176</f>
        <v>A1</v>
      </c>
      <c r="F175">
        <v>55</v>
      </c>
      <c r="G175">
        <f>F176</f>
        <v>59</v>
      </c>
      <c r="H175" t="str">
        <f>G176</f>
        <v>C1</v>
      </c>
      <c r="I175">
        <v>54</v>
      </c>
      <c r="J175">
        <f>I176</f>
        <v>96</v>
      </c>
      <c r="K175" t="str">
        <f>J176</f>
        <v>A1</v>
      </c>
      <c r="L175">
        <v>37</v>
      </c>
      <c r="M175">
        <f>L176</f>
        <v>82</v>
      </c>
      <c r="N175" t="str">
        <f>M176</f>
        <v>B2</v>
      </c>
      <c r="O175">
        <v>30</v>
      </c>
      <c r="P175">
        <f>O176</f>
        <v>89</v>
      </c>
      <c r="Q175" t="str">
        <f>P176</f>
        <v>A1</v>
      </c>
      <c r="R175" t="s">
        <v>307</v>
      </c>
    </row>
    <row r="176" spans="1:18" x14ac:dyDescent="0.25">
      <c r="C176">
        <v>97</v>
      </c>
      <c r="D176" t="s">
        <v>305</v>
      </c>
      <c r="F176">
        <v>59</v>
      </c>
      <c r="G176" t="s">
        <v>313</v>
      </c>
      <c r="I176">
        <v>96</v>
      </c>
      <c r="J176" t="s">
        <v>305</v>
      </c>
      <c r="L176">
        <v>82</v>
      </c>
      <c r="M176" t="s">
        <v>309</v>
      </c>
      <c r="O176">
        <v>89</v>
      </c>
      <c r="P176" t="s">
        <v>305</v>
      </c>
    </row>
    <row r="177" spans="1:18" x14ac:dyDescent="0.25">
      <c r="A177">
        <v>23605973</v>
      </c>
      <c r="B177" t="s">
        <v>402</v>
      </c>
      <c r="C177">
        <v>301</v>
      </c>
      <c r="D177">
        <f>C178</f>
        <v>95</v>
      </c>
      <c r="E177" t="str">
        <f>D178</f>
        <v>A1</v>
      </c>
      <c r="F177">
        <v>55</v>
      </c>
      <c r="G177">
        <f>F178</f>
        <v>100</v>
      </c>
      <c r="H177" t="str">
        <f>G178</f>
        <v>A1</v>
      </c>
      <c r="I177">
        <v>54</v>
      </c>
      <c r="J177">
        <f>I178</f>
        <v>99</v>
      </c>
      <c r="K177" t="str">
        <f>J178</f>
        <v>A1</v>
      </c>
      <c r="L177">
        <v>37</v>
      </c>
      <c r="M177">
        <f>L178</f>
        <v>97</v>
      </c>
      <c r="N177" t="str">
        <f>M178</f>
        <v>A1</v>
      </c>
      <c r="O177">
        <v>30</v>
      </c>
      <c r="P177">
        <f>O178</f>
        <v>99</v>
      </c>
      <c r="Q177" t="str">
        <f>P178</f>
        <v>A1</v>
      </c>
      <c r="R177" t="s">
        <v>307</v>
      </c>
    </row>
    <row r="178" spans="1:18" x14ac:dyDescent="0.25">
      <c r="C178">
        <v>95</v>
      </c>
      <c r="D178" t="s">
        <v>305</v>
      </c>
      <c r="F178">
        <v>100</v>
      </c>
      <c r="G178" t="s">
        <v>305</v>
      </c>
      <c r="I178">
        <v>99</v>
      </c>
      <c r="J178" t="s">
        <v>305</v>
      </c>
      <c r="L178">
        <v>97</v>
      </c>
      <c r="M178" t="s">
        <v>305</v>
      </c>
      <c r="O178">
        <v>99</v>
      </c>
      <c r="P178" t="s">
        <v>305</v>
      </c>
    </row>
    <row r="179" spans="1:18" x14ac:dyDescent="0.25">
      <c r="A179">
        <v>23605974</v>
      </c>
      <c r="B179" t="s">
        <v>403</v>
      </c>
      <c r="C179">
        <v>301</v>
      </c>
      <c r="D179">
        <f>C180</f>
        <v>82</v>
      </c>
      <c r="E179" t="str">
        <f>D180</f>
        <v>B1</v>
      </c>
      <c r="F179">
        <v>55</v>
      </c>
      <c r="G179">
        <f>F180</f>
        <v>65</v>
      </c>
      <c r="H179" t="str">
        <f>G180</f>
        <v>B2</v>
      </c>
      <c r="I179">
        <v>54</v>
      </c>
      <c r="J179">
        <f>I180</f>
        <v>67</v>
      </c>
      <c r="K179" t="str">
        <f>J180</f>
        <v>B2</v>
      </c>
      <c r="L179">
        <v>41</v>
      </c>
      <c r="M179">
        <f>L180</f>
        <v>54</v>
      </c>
      <c r="N179" t="str">
        <f>M180</f>
        <v>C2</v>
      </c>
      <c r="O179">
        <v>30</v>
      </c>
      <c r="P179">
        <f>O180</f>
        <v>74</v>
      </c>
      <c r="Q179" t="str">
        <f>P180</f>
        <v>B1</v>
      </c>
      <c r="R179" t="s">
        <v>307</v>
      </c>
    </row>
    <row r="180" spans="1:18" x14ac:dyDescent="0.25">
      <c r="C180">
        <v>82</v>
      </c>
      <c r="D180" t="s">
        <v>308</v>
      </c>
      <c r="F180">
        <v>65</v>
      </c>
      <c r="G180" t="s">
        <v>309</v>
      </c>
      <c r="I180">
        <v>67</v>
      </c>
      <c r="J180" t="s">
        <v>309</v>
      </c>
      <c r="L180">
        <v>54</v>
      </c>
      <c r="M180" t="s">
        <v>312</v>
      </c>
      <c r="O180">
        <v>74</v>
      </c>
      <c r="P180" t="s">
        <v>308</v>
      </c>
    </row>
    <row r="181" spans="1:18" x14ac:dyDescent="0.25">
      <c r="A181">
        <v>23605975</v>
      </c>
      <c r="B181" t="s">
        <v>404</v>
      </c>
      <c r="C181">
        <v>301</v>
      </c>
      <c r="D181">
        <f>C182</f>
        <v>84</v>
      </c>
      <c r="E181" t="str">
        <f>D182</f>
        <v>B1</v>
      </c>
      <c r="F181">
        <v>55</v>
      </c>
      <c r="G181">
        <f>F182</f>
        <v>67</v>
      </c>
      <c r="H181" t="str">
        <f>G182</f>
        <v>B2</v>
      </c>
      <c r="I181">
        <v>54</v>
      </c>
      <c r="J181">
        <f>I182</f>
        <v>88</v>
      </c>
      <c r="K181" t="str">
        <f>J182</f>
        <v>A2</v>
      </c>
      <c r="L181">
        <v>37</v>
      </c>
      <c r="M181">
        <f>L182</f>
        <v>77</v>
      </c>
      <c r="N181" t="str">
        <f>M182</f>
        <v>B2</v>
      </c>
      <c r="O181">
        <v>30</v>
      </c>
      <c r="P181">
        <f>O182</f>
        <v>90</v>
      </c>
      <c r="Q181" t="str">
        <f>P182</f>
        <v>A1</v>
      </c>
      <c r="R181" t="s">
        <v>307</v>
      </c>
    </row>
    <row r="182" spans="1:18" x14ac:dyDescent="0.25">
      <c r="C182">
        <v>84</v>
      </c>
      <c r="D182" t="s">
        <v>308</v>
      </c>
      <c r="F182">
        <v>67</v>
      </c>
      <c r="G182" t="s">
        <v>309</v>
      </c>
      <c r="I182">
        <v>88</v>
      </c>
      <c r="J182" t="s">
        <v>306</v>
      </c>
      <c r="L182">
        <v>77</v>
      </c>
      <c r="M182" t="s">
        <v>309</v>
      </c>
      <c r="O182">
        <v>90</v>
      </c>
      <c r="P182" t="s">
        <v>305</v>
      </c>
    </row>
    <row r="183" spans="1:18" x14ac:dyDescent="0.25">
      <c r="A183">
        <v>23605976</v>
      </c>
      <c r="B183" t="s">
        <v>405</v>
      </c>
      <c r="C183">
        <v>301</v>
      </c>
      <c r="D183">
        <f>C184</f>
        <v>79</v>
      </c>
      <c r="E183" t="str">
        <f>D184</f>
        <v>B2</v>
      </c>
      <c r="F183">
        <v>55</v>
      </c>
      <c r="G183">
        <f>F184</f>
        <v>54</v>
      </c>
      <c r="H183" t="str">
        <f>G184</f>
        <v>C2</v>
      </c>
      <c r="I183">
        <v>54</v>
      </c>
      <c r="J183">
        <f>I184</f>
        <v>85</v>
      </c>
      <c r="K183" t="str">
        <f>J184</f>
        <v>A2</v>
      </c>
      <c r="L183">
        <v>49</v>
      </c>
      <c r="M183">
        <f>L184</f>
        <v>92</v>
      </c>
      <c r="N183" t="str">
        <f>M184</f>
        <v>B1</v>
      </c>
      <c r="O183">
        <v>30</v>
      </c>
      <c r="P183">
        <f>O184</f>
        <v>89</v>
      </c>
      <c r="Q183" t="str">
        <f>P184</f>
        <v>A1</v>
      </c>
      <c r="R183" t="s">
        <v>307</v>
      </c>
    </row>
    <row r="184" spans="1:18" x14ac:dyDescent="0.25">
      <c r="C184">
        <v>79</v>
      </c>
      <c r="D184" t="s">
        <v>309</v>
      </c>
      <c r="F184">
        <v>54</v>
      </c>
      <c r="G184" t="s">
        <v>312</v>
      </c>
      <c r="I184">
        <v>85</v>
      </c>
      <c r="J184" t="s">
        <v>306</v>
      </c>
      <c r="L184">
        <v>92</v>
      </c>
      <c r="M184" t="s">
        <v>308</v>
      </c>
      <c r="O184">
        <v>89</v>
      </c>
      <c r="P184" t="s">
        <v>305</v>
      </c>
    </row>
    <row r="185" spans="1:18" x14ac:dyDescent="0.25">
      <c r="A185">
        <v>23605977</v>
      </c>
      <c r="B185" t="s">
        <v>406</v>
      </c>
      <c r="C185">
        <v>301</v>
      </c>
      <c r="D185">
        <f>C186</f>
        <v>87</v>
      </c>
      <c r="E185" t="str">
        <f>D186</f>
        <v>A2</v>
      </c>
      <c r="F185">
        <v>55</v>
      </c>
      <c r="G185">
        <f>F186</f>
        <v>76</v>
      </c>
      <c r="H185" t="str">
        <f>G186</f>
        <v>B1</v>
      </c>
      <c r="I185">
        <v>54</v>
      </c>
      <c r="J185">
        <f>I186</f>
        <v>86</v>
      </c>
      <c r="K185" t="str">
        <f>J186</f>
        <v>A2</v>
      </c>
      <c r="L185">
        <v>37</v>
      </c>
      <c r="M185">
        <f>L186</f>
        <v>92</v>
      </c>
      <c r="N185" t="str">
        <f>M186</f>
        <v>A2</v>
      </c>
      <c r="O185">
        <v>30</v>
      </c>
      <c r="P185">
        <f>O186</f>
        <v>89</v>
      </c>
      <c r="Q185" t="str">
        <f>P186</f>
        <v>A1</v>
      </c>
      <c r="R185" t="s">
        <v>307</v>
      </c>
    </row>
    <row r="186" spans="1:18" x14ac:dyDescent="0.25">
      <c r="C186">
        <v>87</v>
      </c>
      <c r="D186" t="s">
        <v>306</v>
      </c>
      <c r="F186">
        <v>76</v>
      </c>
      <c r="G186" t="s">
        <v>308</v>
      </c>
      <c r="I186">
        <v>86</v>
      </c>
      <c r="J186" t="s">
        <v>306</v>
      </c>
      <c r="L186">
        <v>92</v>
      </c>
      <c r="M186" t="s">
        <v>306</v>
      </c>
      <c r="O186">
        <v>89</v>
      </c>
      <c r="P186" t="s">
        <v>305</v>
      </c>
    </row>
    <row r="187" spans="1:18" x14ac:dyDescent="0.25">
      <c r="A187">
        <v>23605978</v>
      </c>
      <c r="B187" t="s">
        <v>407</v>
      </c>
      <c r="C187">
        <v>301</v>
      </c>
      <c r="D187">
        <f>C188</f>
        <v>92</v>
      </c>
      <c r="E187" t="str">
        <f>D188</f>
        <v>A1</v>
      </c>
      <c r="F187">
        <v>55</v>
      </c>
      <c r="G187">
        <f>F188</f>
        <v>95</v>
      </c>
      <c r="H187" t="str">
        <f>G188</f>
        <v>A1</v>
      </c>
      <c r="I187">
        <v>54</v>
      </c>
      <c r="J187">
        <f>I188</f>
        <v>97</v>
      </c>
      <c r="K187" t="str">
        <f>J188</f>
        <v>A1</v>
      </c>
      <c r="L187">
        <v>37</v>
      </c>
      <c r="M187">
        <f>L188</f>
        <v>94</v>
      </c>
      <c r="N187" t="str">
        <f>M188</f>
        <v>A2</v>
      </c>
      <c r="O187">
        <v>30</v>
      </c>
      <c r="P187">
        <f>O188</f>
        <v>95</v>
      </c>
      <c r="Q187" t="str">
        <f>P188</f>
        <v>A1</v>
      </c>
      <c r="R187" t="s">
        <v>307</v>
      </c>
    </row>
    <row r="188" spans="1:18" x14ac:dyDescent="0.25">
      <c r="C188">
        <v>92</v>
      </c>
      <c r="D188" t="s">
        <v>305</v>
      </c>
      <c r="F188">
        <v>95</v>
      </c>
      <c r="G188" t="s">
        <v>305</v>
      </c>
      <c r="I188">
        <v>97</v>
      </c>
      <c r="J188" t="s">
        <v>305</v>
      </c>
      <c r="L188">
        <v>94</v>
      </c>
      <c r="M188" t="s">
        <v>306</v>
      </c>
      <c r="O188">
        <v>95</v>
      </c>
      <c r="P188" t="s">
        <v>305</v>
      </c>
    </row>
    <row r="189" spans="1:18" x14ac:dyDescent="0.25">
      <c r="A189">
        <v>23605979</v>
      </c>
      <c r="B189" t="s">
        <v>408</v>
      </c>
      <c r="C189">
        <v>301</v>
      </c>
      <c r="D189">
        <f>C190</f>
        <v>93</v>
      </c>
      <c r="E189" t="str">
        <f>D190</f>
        <v>A1</v>
      </c>
      <c r="F189">
        <v>55</v>
      </c>
      <c r="G189">
        <f>F190</f>
        <v>99</v>
      </c>
      <c r="H189" t="str">
        <f>G190</f>
        <v>A1</v>
      </c>
      <c r="I189">
        <v>54</v>
      </c>
      <c r="J189">
        <f>I190</f>
        <v>100</v>
      </c>
      <c r="K189" t="str">
        <f>J190</f>
        <v>A1</v>
      </c>
      <c r="L189">
        <v>41</v>
      </c>
      <c r="M189">
        <f>L190</f>
        <v>86</v>
      </c>
      <c r="N189" t="str">
        <f>M190</f>
        <v>A2</v>
      </c>
      <c r="O189">
        <v>30</v>
      </c>
      <c r="P189">
        <f>O190</f>
        <v>98</v>
      </c>
      <c r="Q189" t="str">
        <f>P190</f>
        <v>A1</v>
      </c>
      <c r="R189" t="s">
        <v>307</v>
      </c>
    </row>
    <row r="190" spans="1:18" x14ac:dyDescent="0.25">
      <c r="C190">
        <v>93</v>
      </c>
      <c r="D190" t="s">
        <v>305</v>
      </c>
      <c r="F190">
        <v>99</v>
      </c>
      <c r="G190" t="s">
        <v>305</v>
      </c>
      <c r="I190">
        <v>100</v>
      </c>
      <c r="J190" t="s">
        <v>305</v>
      </c>
      <c r="L190">
        <v>86</v>
      </c>
      <c r="M190" t="s">
        <v>306</v>
      </c>
      <c r="O190">
        <v>98</v>
      </c>
      <c r="P190" t="s">
        <v>305</v>
      </c>
    </row>
    <row r="191" spans="1:18" x14ac:dyDescent="0.25">
      <c r="A191">
        <v>23605980</v>
      </c>
      <c r="B191" t="s">
        <v>409</v>
      </c>
      <c r="C191">
        <v>301</v>
      </c>
      <c r="D191">
        <f>C192</f>
        <v>90</v>
      </c>
      <c r="E191" t="str">
        <f>D192</f>
        <v>A2</v>
      </c>
      <c r="F191">
        <v>55</v>
      </c>
      <c r="G191">
        <f>F192</f>
        <v>98</v>
      </c>
      <c r="H191" t="str">
        <f>G192</f>
        <v>A1</v>
      </c>
      <c r="I191">
        <v>54</v>
      </c>
      <c r="J191">
        <f>I192</f>
        <v>95</v>
      </c>
      <c r="K191" t="str">
        <f>J192</f>
        <v>A1</v>
      </c>
      <c r="L191">
        <v>41</v>
      </c>
      <c r="M191">
        <f>L192</f>
        <v>90</v>
      </c>
      <c r="N191" t="str">
        <f>M192</f>
        <v>A1</v>
      </c>
      <c r="O191">
        <v>30</v>
      </c>
      <c r="P191">
        <f>O192</f>
        <v>90</v>
      </c>
      <c r="Q191" t="str">
        <f>P192</f>
        <v>A1</v>
      </c>
      <c r="R191" t="s">
        <v>307</v>
      </c>
    </row>
    <row r="192" spans="1:18" x14ac:dyDescent="0.25">
      <c r="C192">
        <v>90</v>
      </c>
      <c r="D192" t="s">
        <v>306</v>
      </c>
      <c r="F192">
        <v>98</v>
      </c>
      <c r="G192" t="s">
        <v>305</v>
      </c>
      <c r="I192">
        <v>95</v>
      </c>
      <c r="J192" t="s">
        <v>305</v>
      </c>
      <c r="L192">
        <v>90</v>
      </c>
      <c r="M192" t="s">
        <v>305</v>
      </c>
      <c r="O192">
        <v>90</v>
      </c>
      <c r="P192" t="s">
        <v>305</v>
      </c>
    </row>
    <row r="193" spans="1:18" x14ac:dyDescent="0.25">
      <c r="A193">
        <v>23605981</v>
      </c>
      <c r="B193" t="s">
        <v>410</v>
      </c>
      <c r="C193">
        <v>301</v>
      </c>
      <c r="D193">
        <f>C194</f>
        <v>73</v>
      </c>
      <c r="E193" t="str">
        <f>D194</f>
        <v>C1</v>
      </c>
      <c r="F193">
        <v>55</v>
      </c>
      <c r="G193">
        <f>F194</f>
        <v>61</v>
      </c>
      <c r="H193" t="str">
        <f>G194</f>
        <v>C1</v>
      </c>
      <c r="I193">
        <v>54</v>
      </c>
      <c r="J193">
        <f>I194</f>
        <v>74</v>
      </c>
      <c r="K193" t="str">
        <f>J194</f>
        <v>B1</v>
      </c>
      <c r="L193">
        <v>37</v>
      </c>
      <c r="M193">
        <f>L194</f>
        <v>65</v>
      </c>
      <c r="N193" t="str">
        <f>M194</f>
        <v>C2</v>
      </c>
      <c r="O193">
        <v>30</v>
      </c>
      <c r="P193">
        <f>O194</f>
        <v>63</v>
      </c>
      <c r="Q193" t="str">
        <f>P194</f>
        <v>C1</v>
      </c>
      <c r="R193" t="s">
        <v>307</v>
      </c>
    </row>
    <row r="194" spans="1:18" x14ac:dyDescent="0.25">
      <c r="C194">
        <v>73</v>
      </c>
      <c r="D194" t="s">
        <v>313</v>
      </c>
      <c r="F194">
        <v>61</v>
      </c>
      <c r="G194" t="s">
        <v>313</v>
      </c>
      <c r="I194">
        <v>74</v>
      </c>
      <c r="J194" t="s">
        <v>308</v>
      </c>
      <c r="L194">
        <v>65</v>
      </c>
      <c r="M194" t="s">
        <v>312</v>
      </c>
      <c r="O194">
        <v>63</v>
      </c>
      <c r="P194" t="s">
        <v>313</v>
      </c>
    </row>
    <row r="195" spans="1:18" x14ac:dyDescent="0.25">
      <c r="A195">
        <v>23605982</v>
      </c>
      <c r="B195" t="s">
        <v>411</v>
      </c>
      <c r="C195">
        <v>301</v>
      </c>
      <c r="D195">
        <f>C196</f>
        <v>89</v>
      </c>
      <c r="E195" t="str">
        <f>D196</f>
        <v>A2</v>
      </c>
      <c r="F195">
        <v>55</v>
      </c>
      <c r="G195">
        <f>F196</f>
        <v>97</v>
      </c>
      <c r="H195" t="str">
        <f>G196</f>
        <v>A1</v>
      </c>
      <c r="I195">
        <v>54</v>
      </c>
      <c r="J195">
        <f>I196</f>
        <v>98</v>
      </c>
      <c r="K195" t="str">
        <f>J196</f>
        <v>A1</v>
      </c>
      <c r="L195">
        <v>37</v>
      </c>
      <c r="M195">
        <f>L196</f>
        <v>92</v>
      </c>
      <c r="N195" t="str">
        <f>M196</f>
        <v>A2</v>
      </c>
      <c r="O195">
        <v>30</v>
      </c>
      <c r="P195">
        <f>O196</f>
        <v>96</v>
      </c>
      <c r="Q195" t="str">
        <f>P196</f>
        <v>A1</v>
      </c>
      <c r="R195" t="s">
        <v>307</v>
      </c>
    </row>
    <row r="196" spans="1:18" x14ac:dyDescent="0.25">
      <c r="C196">
        <v>89</v>
      </c>
      <c r="D196" t="s">
        <v>306</v>
      </c>
      <c r="F196">
        <v>97</v>
      </c>
      <c r="G196" t="s">
        <v>305</v>
      </c>
      <c r="I196">
        <v>98</v>
      </c>
      <c r="J196" t="s">
        <v>305</v>
      </c>
      <c r="L196">
        <v>92</v>
      </c>
      <c r="M196" t="s">
        <v>306</v>
      </c>
      <c r="O196">
        <v>96</v>
      </c>
      <c r="P196" t="s">
        <v>305</v>
      </c>
    </row>
    <row r="197" spans="1:18" x14ac:dyDescent="0.25">
      <c r="A197">
        <v>23605983</v>
      </c>
      <c r="B197" t="s">
        <v>412</v>
      </c>
      <c r="C197">
        <v>301</v>
      </c>
      <c r="D197">
        <f>C198</f>
        <v>89</v>
      </c>
      <c r="E197" t="str">
        <f>D198</f>
        <v>A2</v>
      </c>
      <c r="F197">
        <v>55</v>
      </c>
      <c r="G197">
        <f>F198</f>
        <v>97</v>
      </c>
      <c r="H197" t="str">
        <f>G198</f>
        <v>A1</v>
      </c>
      <c r="I197">
        <v>54</v>
      </c>
      <c r="J197">
        <f>I198</f>
        <v>98</v>
      </c>
      <c r="K197" t="str">
        <f>J198</f>
        <v>A1</v>
      </c>
      <c r="L197">
        <v>37</v>
      </c>
      <c r="M197">
        <f>L198</f>
        <v>95</v>
      </c>
      <c r="N197" t="str">
        <f>M198</f>
        <v>A1</v>
      </c>
      <c r="O197">
        <v>30</v>
      </c>
      <c r="P197">
        <f>O198</f>
        <v>100</v>
      </c>
      <c r="Q197" t="str">
        <f>P198</f>
        <v>A1</v>
      </c>
      <c r="R197" t="s">
        <v>307</v>
      </c>
    </row>
    <row r="198" spans="1:18" x14ac:dyDescent="0.25">
      <c r="C198">
        <v>89</v>
      </c>
      <c r="D198" t="s">
        <v>306</v>
      </c>
      <c r="F198">
        <v>97</v>
      </c>
      <c r="G198" t="s">
        <v>305</v>
      </c>
      <c r="I198">
        <v>98</v>
      </c>
      <c r="J198" t="s">
        <v>305</v>
      </c>
      <c r="L198">
        <v>95</v>
      </c>
      <c r="M198" t="s">
        <v>305</v>
      </c>
      <c r="O198">
        <v>100</v>
      </c>
      <c r="P198" t="s">
        <v>305</v>
      </c>
    </row>
    <row r="199" spans="1:18" x14ac:dyDescent="0.25">
      <c r="A199">
        <v>23605984</v>
      </c>
      <c r="B199" t="s">
        <v>413</v>
      </c>
      <c r="C199">
        <v>301</v>
      </c>
      <c r="D199">
        <f>C200</f>
        <v>97</v>
      </c>
      <c r="E199" t="str">
        <f>D200</f>
        <v>A1</v>
      </c>
      <c r="F199">
        <v>55</v>
      </c>
      <c r="G199">
        <f>F200</f>
        <v>99</v>
      </c>
      <c r="H199" t="str">
        <f>G200</f>
        <v>A1</v>
      </c>
      <c r="I199">
        <v>54</v>
      </c>
      <c r="J199">
        <f>I200</f>
        <v>98</v>
      </c>
      <c r="K199" t="str">
        <f>J200</f>
        <v>A1</v>
      </c>
      <c r="L199">
        <v>41</v>
      </c>
      <c r="M199">
        <f>L200</f>
        <v>95</v>
      </c>
      <c r="N199" t="str">
        <f>M200</f>
        <v>A1</v>
      </c>
      <c r="O199">
        <v>30</v>
      </c>
      <c r="P199">
        <f>O200</f>
        <v>98</v>
      </c>
      <c r="Q199" t="str">
        <f>P200</f>
        <v>A1</v>
      </c>
      <c r="R199" t="s">
        <v>307</v>
      </c>
    </row>
    <row r="200" spans="1:18" x14ac:dyDescent="0.25">
      <c r="C200">
        <v>97</v>
      </c>
      <c r="D200" t="s">
        <v>305</v>
      </c>
      <c r="F200">
        <v>99</v>
      </c>
      <c r="G200" t="s">
        <v>305</v>
      </c>
      <c r="I200">
        <v>98</v>
      </c>
      <c r="J200" t="s">
        <v>305</v>
      </c>
      <c r="L200">
        <v>95</v>
      </c>
      <c r="M200" t="s">
        <v>305</v>
      </c>
      <c r="O200">
        <v>98</v>
      </c>
      <c r="P200" t="s">
        <v>305</v>
      </c>
    </row>
    <row r="201" spans="1:18" x14ac:dyDescent="0.25">
      <c r="A201">
        <v>23605985</v>
      </c>
      <c r="B201" t="s">
        <v>414</v>
      </c>
      <c r="C201">
        <v>301</v>
      </c>
      <c r="D201">
        <f>C202</f>
        <v>86</v>
      </c>
      <c r="E201" t="str">
        <f>D202</f>
        <v>A2</v>
      </c>
      <c r="F201">
        <v>55</v>
      </c>
      <c r="G201">
        <f>F202</f>
        <v>62</v>
      </c>
      <c r="H201" t="str">
        <f>G202</f>
        <v>B2</v>
      </c>
      <c r="I201">
        <v>54</v>
      </c>
      <c r="J201">
        <f>I202</f>
        <v>91</v>
      </c>
      <c r="K201" t="str">
        <f>J202</f>
        <v>A1</v>
      </c>
      <c r="L201">
        <v>37</v>
      </c>
      <c r="M201">
        <f>L202</f>
        <v>83</v>
      </c>
      <c r="N201" t="str">
        <f>M202</f>
        <v>B1</v>
      </c>
      <c r="O201">
        <v>30</v>
      </c>
      <c r="P201">
        <f>O202</f>
        <v>88</v>
      </c>
      <c r="Q201" t="str">
        <f>P202</f>
        <v>A2</v>
      </c>
      <c r="R201" t="s">
        <v>307</v>
      </c>
    </row>
    <row r="202" spans="1:18" x14ac:dyDescent="0.25">
      <c r="C202">
        <v>86</v>
      </c>
      <c r="D202" t="s">
        <v>306</v>
      </c>
      <c r="F202">
        <v>62</v>
      </c>
      <c r="G202" t="s">
        <v>309</v>
      </c>
      <c r="I202">
        <v>91</v>
      </c>
      <c r="J202" t="s">
        <v>305</v>
      </c>
      <c r="L202">
        <v>83</v>
      </c>
      <c r="M202" t="s">
        <v>308</v>
      </c>
      <c r="O202">
        <v>88</v>
      </c>
      <c r="P202" t="s">
        <v>306</v>
      </c>
    </row>
    <row r="203" spans="1:18" x14ac:dyDescent="0.25">
      <c r="A203">
        <v>23605986</v>
      </c>
      <c r="B203" t="s">
        <v>415</v>
      </c>
      <c r="C203">
        <v>301</v>
      </c>
      <c r="D203">
        <f>C204</f>
        <v>83</v>
      </c>
      <c r="E203" t="str">
        <f>D204</f>
        <v>B1</v>
      </c>
      <c r="F203">
        <v>55</v>
      </c>
      <c r="G203">
        <f>F204</f>
        <v>42</v>
      </c>
      <c r="H203" t="str">
        <f>G204</f>
        <v>D2</v>
      </c>
      <c r="I203">
        <v>54</v>
      </c>
      <c r="J203">
        <f>I204</f>
        <v>54</v>
      </c>
      <c r="K203" t="str">
        <f>J204</f>
        <v>C2</v>
      </c>
      <c r="L203">
        <v>49</v>
      </c>
      <c r="M203">
        <f>L204</f>
        <v>94</v>
      </c>
      <c r="N203" t="str">
        <f>M204</f>
        <v>A2</v>
      </c>
      <c r="O203">
        <v>30</v>
      </c>
      <c r="P203">
        <f>O204</f>
        <v>71</v>
      </c>
      <c r="Q203" t="str">
        <f>P204</f>
        <v>B2</v>
      </c>
      <c r="R203" t="s">
        <v>307</v>
      </c>
    </row>
    <row r="204" spans="1:18" x14ac:dyDescent="0.25">
      <c r="C204">
        <v>83</v>
      </c>
      <c r="D204" t="s">
        <v>308</v>
      </c>
      <c r="F204">
        <v>42</v>
      </c>
      <c r="G204" t="s">
        <v>310</v>
      </c>
      <c r="I204">
        <v>54</v>
      </c>
      <c r="J204" t="s">
        <v>312</v>
      </c>
      <c r="L204">
        <v>94</v>
      </c>
      <c r="M204" t="s">
        <v>306</v>
      </c>
      <c r="O204">
        <v>71</v>
      </c>
      <c r="P204" t="s">
        <v>309</v>
      </c>
    </row>
    <row r="205" spans="1:18" x14ac:dyDescent="0.25">
      <c r="A205">
        <v>23605987</v>
      </c>
      <c r="B205" t="s">
        <v>416</v>
      </c>
      <c r="C205">
        <v>301</v>
      </c>
      <c r="D205">
        <f>C206</f>
        <v>82</v>
      </c>
      <c r="E205" t="str">
        <f>D206</f>
        <v>B1</v>
      </c>
      <c r="F205">
        <v>55</v>
      </c>
      <c r="G205">
        <f>F206</f>
        <v>51</v>
      </c>
      <c r="H205" t="str">
        <f>G206</f>
        <v>C2</v>
      </c>
      <c r="I205">
        <v>54</v>
      </c>
      <c r="J205">
        <f>I206</f>
        <v>62</v>
      </c>
      <c r="K205" t="str">
        <f>J206</f>
        <v>C1</v>
      </c>
      <c r="L205">
        <v>37</v>
      </c>
      <c r="M205">
        <f>L206</f>
        <v>62</v>
      </c>
      <c r="N205" t="str">
        <f>M206</f>
        <v>C2</v>
      </c>
      <c r="O205">
        <v>30</v>
      </c>
      <c r="P205">
        <f>O206</f>
        <v>80</v>
      </c>
      <c r="Q205" t="str">
        <f>P206</f>
        <v>B1</v>
      </c>
      <c r="R205" t="s">
        <v>307</v>
      </c>
    </row>
    <row r="206" spans="1:18" x14ac:dyDescent="0.25">
      <c r="C206">
        <v>82</v>
      </c>
      <c r="D206" t="s">
        <v>308</v>
      </c>
      <c r="F206">
        <v>51</v>
      </c>
      <c r="G206" t="s">
        <v>312</v>
      </c>
      <c r="I206">
        <v>62</v>
      </c>
      <c r="J206" t="s">
        <v>313</v>
      </c>
      <c r="L206">
        <v>62</v>
      </c>
      <c r="M206" t="s">
        <v>312</v>
      </c>
      <c r="O206">
        <v>80</v>
      </c>
      <c r="P206" t="s">
        <v>308</v>
      </c>
    </row>
    <row r="207" spans="1:18" x14ac:dyDescent="0.25">
      <c r="A207">
        <v>23605988</v>
      </c>
      <c r="B207" t="s">
        <v>417</v>
      </c>
      <c r="C207">
        <v>301</v>
      </c>
      <c r="D207">
        <f>C208</f>
        <v>72</v>
      </c>
      <c r="E207" t="str">
        <f>D208</f>
        <v>C1</v>
      </c>
      <c r="F207">
        <v>55</v>
      </c>
      <c r="G207">
        <f>F208</f>
        <v>88</v>
      </c>
      <c r="H207" t="str">
        <f>G208</f>
        <v>A2</v>
      </c>
      <c r="I207">
        <v>54</v>
      </c>
      <c r="J207">
        <f>I208</f>
        <v>93</v>
      </c>
      <c r="K207" t="str">
        <f>J208</f>
        <v>A1</v>
      </c>
      <c r="L207">
        <v>37</v>
      </c>
      <c r="M207">
        <f>L208</f>
        <v>85</v>
      </c>
      <c r="N207" t="str">
        <f>M208</f>
        <v>B1</v>
      </c>
      <c r="O207">
        <v>30</v>
      </c>
      <c r="P207">
        <f>O208</f>
        <v>95</v>
      </c>
      <c r="Q207" t="str">
        <f>P208</f>
        <v>A1</v>
      </c>
      <c r="R207" t="s">
        <v>307</v>
      </c>
    </row>
    <row r="208" spans="1:18" x14ac:dyDescent="0.25">
      <c r="C208">
        <v>72</v>
      </c>
      <c r="D208" t="s">
        <v>313</v>
      </c>
      <c r="F208">
        <v>88</v>
      </c>
      <c r="G208" t="s">
        <v>306</v>
      </c>
      <c r="I208">
        <v>93</v>
      </c>
      <c r="J208" t="s">
        <v>305</v>
      </c>
      <c r="L208">
        <v>85</v>
      </c>
      <c r="M208" t="s">
        <v>308</v>
      </c>
      <c r="O208">
        <v>95</v>
      </c>
      <c r="P208" t="s">
        <v>305</v>
      </c>
    </row>
    <row r="209" spans="1:18" x14ac:dyDescent="0.25">
      <c r="A209">
        <v>23605989</v>
      </c>
      <c r="B209" t="s">
        <v>418</v>
      </c>
      <c r="C209">
        <v>301</v>
      </c>
      <c r="D209">
        <f>C210</f>
        <v>83</v>
      </c>
      <c r="E209" t="str">
        <f>D210</f>
        <v>B1</v>
      </c>
      <c r="F209">
        <v>55</v>
      </c>
      <c r="G209">
        <f>F210</f>
        <v>72</v>
      </c>
      <c r="H209" t="str">
        <f>G210</f>
        <v>B1</v>
      </c>
      <c r="I209">
        <v>54</v>
      </c>
      <c r="J209">
        <f>I210</f>
        <v>83</v>
      </c>
      <c r="K209" t="str">
        <f>J210</f>
        <v>A2</v>
      </c>
      <c r="L209">
        <v>41</v>
      </c>
      <c r="M209">
        <f>L210</f>
        <v>44</v>
      </c>
      <c r="N209" t="str">
        <f>M210</f>
        <v>D2</v>
      </c>
      <c r="O209">
        <v>34</v>
      </c>
      <c r="P209">
        <f>O210</f>
        <v>97</v>
      </c>
      <c r="Q209" t="str">
        <f>P210</f>
        <v>A2</v>
      </c>
      <c r="R209" t="s">
        <v>307</v>
      </c>
    </row>
    <row r="210" spans="1:18" x14ac:dyDescent="0.25">
      <c r="C210">
        <v>83</v>
      </c>
      <c r="D210" t="s">
        <v>308</v>
      </c>
      <c r="F210">
        <v>72</v>
      </c>
      <c r="G210" t="s">
        <v>308</v>
      </c>
      <c r="I210">
        <v>83</v>
      </c>
      <c r="J210" t="s">
        <v>306</v>
      </c>
      <c r="L210">
        <v>44</v>
      </c>
      <c r="M210" t="s">
        <v>310</v>
      </c>
      <c r="O210">
        <v>97</v>
      </c>
      <c r="P210" t="s">
        <v>306</v>
      </c>
    </row>
    <row r="211" spans="1:18" x14ac:dyDescent="0.25">
      <c r="A211">
        <v>23605990</v>
      </c>
      <c r="B211" t="s">
        <v>419</v>
      </c>
      <c r="C211">
        <v>301</v>
      </c>
      <c r="D211">
        <f>C212</f>
        <v>92</v>
      </c>
      <c r="E211" t="str">
        <f>D212</f>
        <v>A1</v>
      </c>
      <c r="F211">
        <v>55</v>
      </c>
      <c r="G211">
        <f>F212</f>
        <v>97</v>
      </c>
      <c r="H211" t="str">
        <f>G212</f>
        <v>A1</v>
      </c>
      <c r="I211">
        <v>54</v>
      </c>
      <c r="J211">
        <f>I212</f>
        <v>99</v>
      </c>
      <c r="K211" t="str">
        <f>J212</f>
        <v>A1</v>
      </c>
      <c r="L211">
        <v>49</v>
      </c>
      <c r="M211">
        <f>L212</f>
        <v>97</v>
      </c>
      <c r="N211" t="str">
        <f>M212</f>
        <v>A1</v>
      </c>
      <c r="O211">
        <v>30</v>
      </c>
      <c r="P211">
        <f>O212</f>
        <v>100</v>
      </c>
      <c r="Q211" t="str">
        <f>P212</f>
        <v>A1</v>
      </c>
      <c r="R211" t="s">
        <v>307</v>
      </c>
    </row>
    <row r="212" spans="1:18" x14ac:dyDescent="0.25">
      <c r="C212">
        <v>92</v>
      </c>
      <c r="D212" t="s">
        <v>305</v>
      </c>
      <c r="F212">
        <v>97</v>
      </c>
      <c r="G212" t="s">
        <v>305</v>
      </c>
      <c r="I212">
        <v>99</v>
      </c>
      <c r="J212" t="s">
        <v>305</v>
      </c>
      <c r="L212">
        <v>97</v>
      </c>
      <c r="M212" t="s">
        <v>305</v>
      </c>
      <c r="O212">
        <v>100</v>
      </c>
      <c r="P212" t="s">
        <v>305</v>
      </c>
    </row>
    <row r="213" spans="1:18" x14ac:dyDescent="0.25">
      <c r="A213">
        <v>23605991</v>
      </c>
      <c r="B213" t="s">
        <v>420</v>
      </c>
      <c r="C213">
        <v>301</v>
      </c>
      <c r="D213">
        <f>C214</f>
        <v>93</v>
      </c>
      <c r="E213" t="str">
        <f>D214</f>
        <v>A1</v>
      </c>
      <c r="F213">
        <v>55</v>
      </c>
      <c r="G213">
        <f>F214</f>
        <v>95</v>
      </c>
      <c r="H213" t="str">
        <f>G214</f>
        <v>A1</v>
      </c>
      <c r="I213">
        <v>54</v>
      </c>
      <c r="J213">
        <f>I214</f>
        <v>93</v>
      </c>
      <c r="K213" t="str">
        <f>J214</f>
        <v>A1</v>
      </c>
      <c r="L213">
        <v>41</v>
      </c>
      <c r="M213">
        <f>L214</f>
        <v>71</v>
      </c>
      <c r="N213" t="str">
        <f>M214</f>
        <v>B1</v>
      </c>
      <c r="O213">
        <v>30</v>
      </c>
      <c r="P213">
        <f>O214</f>
        <v>91</v>
      </c>
      <c r="Q213" t="str">
        <f>P214</f>
        <v>A1</v>
      </c>
      <c r="R213" t="s">
        <v>307</v>
      </c>
    </row>
    <row r="214" spans="1:18" x14ac:dyDescent="0.25">
      <c r="C214">
        <v>93</v>
      </c>
      <c r="D214" t="s">
        <v>305</v>
      </c>
      <c r="F214">
        <v>95</v>
      </c>
      <c r="G214" t="s">
        <v>305</v>
      </c>
      <c r="I214">
        <v>93</v>
      </c>
      <c r="J214" t="s">
        <v>305</v>
      </c>
      <c r="L214">
        <v>71</v>
      </c>
      <c r="M214" t="s">
        <v>308</v>
      </c>
      <c r="O214">
        <v>91</v>
      </c>
      <c r="P214" t="s">
        <v>305</v>
      </c>
    </row>
    <row r="215" spans="1:18" x14ac:dyDescent="0.25">
      <c r="J215">
        <f>I216</f>
        <v>54</v>
      </c>
      <c r="K215">
        <f>J216</f>
        <v>29</v>
      </c>
    </row>
    <row r="216" spans="1:18" x14ac:dyDescent="0.25">
      <c r="A216">
        <v>23605992</v>
      </c>
      <c r="B216" t="s">
        <v>371</v>
      </c>
      <c r="C216">
        <v>301</v>
      </c>
      <c r="D216">
        <f>C217</f>
        <v>29</v>
      </c>
      <c r="E216" t="str">
        <f>D217</f>
        <v>E</v>
      </c>
      <c r="F216">
        <v>55</v>
      </c>
      <c r="G216">
        <f>F217</f>
        <v>16</v>
      </c>
      <c r="H216" t="str">
        <f>G217</f>
        <v>E</v>
      </c>
      <c r="I216">
        <v>54</v>
      </c>
      <c r="J216">
        <f>I217</f>
        <v>29</v>
      </c>
      <c r="K216" t="str">
        <f>J217</f>
        <v>E</v>
      </c>
      <c r="L216">
        <v>37</v>
      </c>
      <c r="M216">
        <f>L217</f>
        <v>55</v>
      </c>
      <c r="N216" t="str">
        <f>M217</f>
        <v>D2</v>
      </c>
      <c r="O216">
        <v>34</v>
      </c>
      <c r="P216">
        <f>O217</f>
        <v>72</v>
      </c>
      <c r="Q216" t="str">
        <f>P217</f>
        <v>E</v>
      </c>
      <c r="R216" t="s">
        <v>421</v>
      </c>
    </row>
    <row r="217" spans="1:18" x14ac:dyDescent="0.25">
      <c r="C217">
        <v>29</v>
      </c>
      <c r="D217" t="s">
        <v>311</v>
      </c>
      <c r="F217">
        <v>16</v>
      </c>
      <c r="G217" t="s">
        <v>311</v>
      </c>
      <c r="I217">
        <v>29</v>
      </c>
      <c r="J217" t="s">
        <v>311</v>
      </c>
      <c r="L217">
        <v>55</v>
      </c>
      <c r="M217" t="s">
        <v>310</v>
      </c>
      <c r="O217">
        <v>72</v>
      </c>
      <c r="P217" t="s">
        <v>311</v>
      </c>
    </row>
    <row r="218" spans="1:18" x14ac:dyDescent="0.25">
      <c r="A218">
        <v>23605993</v>
      </c>
      <c r="B218" t="s">
        <v>422</v>
      </c>
      <c r="C218">
        <v>301</v>
      </c>
      <c r="D218">
        <f>C219</f>
        <v>93</v>
      </c>
      <c r="E218" t="str">
        <f>D219</f>
        <v>A1</v>
      </c>
      <c r="F218">
        <v>55</v>
      </c>
      <c r="G218">
        <f>F219</f>
        <v>95</v>
      </c>
      <c r="H218" t="str">
        <f>G219</f>
        <v>A1</v>
      </c>
      <c r="I218">
        <v>54</v>
      </c>
      <c r="J218">
        <f>I219</f>
        <v>95</v>
      </c>
      <c r="K218" t="str">
        <f>J219</f>
        <v>A1</v>
      </c>
      <c r="L218">
        <v>37</v>
      </c>
      <c r="M218">
        <f>L219</f>
        <v>83</v>
      </c>
      <c r="N218" t="str">
        <f>M219</f>
        <v>B1</v>
      </c>
      <c r="O218">
        <v>48</v>
      </c>
      <c r="P218">
        <f>O219</f>
        <v>96</v>
      </c>
      <c r="Q218" t="str">
        <f>P219</f>
        <v>A1</v>
      </c>
      <c r="R218" t="s">
        <v>307</v>
      </c>
    </row>
    <row r="219" spans="1:18" x14ac:dyDescent="0.25">
      <c r="C219">
        <v>93</v>
      </c>
      <c r="D219" t="s">
        <v>305</v>
      </c>
      <c r="F219">
        <v>95</v>
      </c>
      <c r="G219" t="s">
        <v>305</v>
      </c>
      <c r="I219">
        <v>95</v>
      </c>
      <c r="J219" t="s">
        <v>305</v>
      </c>
      <c r="L219">
        <v>83</v>
      </c>
      <c r="M219" t="s">
        <v>308</v>
      </c>
      <c r="O219">
        <v>96</v>
      </c>
      <c r="P219" t="s">
        <v>305</v>
      </c>
    </row>
    <row r="220" spans="1:18" x14ac:dyDescent="0.25">
      <c r="A220">
        <v>23605994</v>
      </c>
      <c r="B220" t="s">
        <v>423</v>
      </c>
      <c r="C220">
        <v>301</v>
      </c>
      <c r="D220">
        <f>C221</f>
        <v>80</v>
      </c>
      <c r="E220" t="str">
        <f>D221</f>
        <v>B2</v>
      </c>
      <c r="F220">
        <v>55</v>
      </c>
      <c r="G220">
        <f>F221</f>
        <v>60</v>
      </c>
      <c r="H220" t="str">
        <f>G221</f>
        <v>C1</v>
      </c>
      <c r="I220">
        <v>54</v>
      </c>
      <c r="J220">
        <f>I221</f>
        <v>69</v>
      </c>
      <c r="K220" t="str">
        <f>J221</f>
        <v>B2</v>
      </c>
      <c r="L220">
        <v>37</v>
      </c>
      <c r="M220">
        <f>L221</f>
        <v>71</v>
      </c>
      <c r="N220" t="str">
        <f>M221</f>
        <v>C1</v>
      </c>
      <c r="O220">
        <v>30</v>
      </c>
      <c r="P220">
        <f>O221</f>
        <v>76</v>
      </c>
      <c r="Q220" t="str">
        <f>P221</f>
        <v>B1</v>
      </c>
      <c r="R220" t="s">
        <v>307</v>
      </c>
    </row>
    <row r="221" spans="1:18" x14ac:dyDescent="0.25">
      <c r="C221">
        <v>80</v>
      </c>
      <c r="D221" t="s">
        <v>309</v>
      </c>
      <c r="F221">
        <v>60</v>
      </c>
      <c r="G221" t="s">
        <v>313</v>
      </c>
      <c r="I221">
        <v>69</v>
      </c>
      <c r="J221" t="s">
        <v>309</v>
      </c>
      <c r="L221">
        <v>71</v>
      </c>
      <c r="M221" t="s">
        <v>313</v>
      </c>
      <c r="O221">
        <v>76</v>
      </c>
      <c r="P221" t="s">
        <v>308</v>
      </c>
    </row>
    <row r="222" spans="1:18" x14ac:dyDescent="0.25">
      <c r="A222">
        <v>23605995</v>
      </c>
      <c r="B222" t="s">
        <v>424</v>
      </c>
      <c r="C222">
        <v>301</v>
      </c>
      <c r="D222">
        <f>C223</f>
        <v>94</v>
      </c>
      <c r="E222" t="str">
        <f>D223</f>
        <v>A1</v>
      </c>
      <c r="F222">
        <v>55</v>
      </c>
      <c r="G222">
        <f>F223</f>
        <v>91</v>
      </c>
      <c r="H222" t="str">
        <f>G223</f>
        <v>A2</v>
      </c>
      <c r="I222">
        <v>54</v>
      </c>
      <c r="J222">
        <f>I223</f>
        <v>94</v>
      </c>
      <c r="K222" t="str">
        <f>J223</f>
        <v>A1</v>
      </c>
      <c r="L222">
        <v>49</v>
      </c>
      <c r="M222">
        <f>L223</f>
        <v>93</v>
      </c>
      <c r="N222" t="str">
        <f>M223</f>
        <v>B1</v>
      </c>
      <c r="O222">
        <v>30</v>
      </c>
      <c r="P222">
        <f>O223</f>
        <v>88</v>
      </c>
      <c r="Q222" t="str">
        <f>P223</f>
        <v>A2</v>
      </c>
      <c r="R222" t="s">
        <v>307</v>
      </c>
    </row>
    <row r="223" spans="1:18" x14ac:dyDescent="0.25">
      <c r="C223">
        <v>94</v>
      </c>
      <c r="D223" t="s">
        <v>305</v>
      </c>
      <c r="F223">
        <v>91</v>
      </c>
      <c r="G223" t="s">
        <v>306</v>
      </c>
      <c r="I223">
        <v>94</v>
      </c>
      <c r="J223" t="s">
        <v>305</v>
      </c>
      <c r="L223">
        <v>93</v>
      </c>
      <c r="M223" t="s">
        <v>308</v>
      </c>
      <c r="O223">
        <v>88</v>
      </c>
      <c r="P223" t="s">
        <v>306</v>
      </c>
    </row>
    <row r="224" spans="1:18" x14ac:dyDescent="0.25">
      <c r="A224">
        <v>23605996</v>
      </c>
      <c r="B224" t="s">
        <v>425</v>
      </c>
      <c r="C224">
        <v>301</v>
      </c>
      <c r="D224">
        <f>C225</f>
        <v>93</v>
      </c>
      <c r="E224" t="str">
        <f>D225</f>
        <v>A1</v>
      </c>
      <c r="F224">
        <v>55</v>
      </c>
      <c r="G224">
        <f>F225</f>
        <v>60</v>
      </c>
      <c r="H224" t="str">
        <f>G225</f>
        <v>C1</v>
      </c>
      <c r="I224">
        <v>54</v>
      </c>
      <c r="J224">
        <f>I225</f>
        <v>74</v>
      </c>
      <c r="K224" t="str">
        <f>J225</f>
        <v>B1</v>
      </c>
      <c r="L224">
        <v>37</v>
      </c>
      <c r="M224">
        <f>L225</f>
        <v>64</v>
      </c>
      <c r="N224" t="str">
        <f>M225</f>
        <v>C2</v>
      </c>
      <c r="O224">
        <v>30</v>
      </c>
      <c r="P224">
        <f>O225</f>
        <v>86</v>
      </c>
      <c r="Q224" t="str">
        <f>P225</f>
        <v>A2</v>
      </c>
      <c r="R224" t="s">
        <v>307</v>
      </c>
    </row>
    <row r="225" spans="1:18" x14ac:dyDescent="0.25">
      <c r="C225">
        <v>93</v>
      </c>
      <c r="D225" t="s">
        <v>305</v>
      </c>
      <c r="F225">
        <v>60</v>
      </c>
      <c r="G225" t="s">
        <v>313</v>
      </c>
      <c r="I225">
        <v>74</v>
      </c>
      <c r="J225" t="s">
        <v>308</v>
      </c>
      <c r="L225">
        <v>64</v>
      </c>
      <c r="M225" t="s">
        <v>312</v>
      </c>
      <c r="O225">
        <v>86</v>
      </c>
      <c r="P225" t="s">
        <v>306</v>
      </c>
    </row>
    <row r="226" spans="1:18" x14ac:dyDescent="0.25">
      <c r="A226">
        <v>23605997</v>
      </c>
      <c r="B226" t="s">
        <v>426</v>
      </c>
      <c r="C226">
        <v>301</v>
      </c>
      <c r="D226">
        <f>C227</f>
        <v>95</v>
      </c>
      <c r="E226" t="str">
        <f>D227</f>
        <v>A1</v>
      </c>
      <c r="F226">
        <v>27</v>
      </c>
      <c r="G226">
        <f>F227</f>
        <v>99</v>
      </c>
      <c r="H226" t="str">
        <f>G227</f>
        <v>A1</v>
      </c>
      <c r="I226">
        <v>29</v>
      </c>
      <c r="J226">
        <f>I227</f>
        <v>95</v>
      </c>
      <c r="K226" t="str">
        <f>J227</f>
        <v>A1</v>
      </c>
      <c r="L226">
        <v>28</v>
      </c>
      <c r="M226">
        <f>L227</f>
        <v>96</v>
      </c>
      <c r="N226" t="str">
        <f>M227</f>
        <v>A1</v>
      </c>
      <c r="O226">
        <v>302</v>
      </c>
      <c r="P226">
        <f>O227</f>
        <v>80</v>
      </c>
      <c r="Q226" t="str">
        <f>P227</f>
        <v>B1</v>
      </c>
      <c r="R226" t="s">
        <v>307</v>
      </c>
    </row>
    <row r="227" spans="1:18" x14ac:dyDescent="0.25">
      <c r="C227">
        <v>95</v>
      </c>
      <c r="D227" t="s">
        <v>305</v>
      </c>
      <c r="F227">
        <v>99</v>
      </c>
      <c r="G227" t="s">
        <v>305</v>
      </c>
      <c r="I227">
        <v>95</v>
      </c>
      <c r="J227" t="s">
        <v>305</v>
      </c>
      <c r="L227">
        <v>96</v>
      </c>
      <c r="M227" t="s">
        <v>305</v>
      </c>
      <c r="O227">
        <v>80</v>
      </c>
      <c r="P227" t="s">
        <v>308</v>
      </c>
    </row>
    <row r="228" spans="1:18" x14ac:dyDescent="0.25">
      <c r="A228">
        <v>23605998</v>
      </c>
      <c r="B228" t="s">
        <v>427</v>
      </c>
      <c r="C228">
        <v>301</v>
      </c>
      <c r="D228">
        <f>C229</f>
        <v>78</v>
      </c>
      <c r="E228" t="str">
        <f>D229</f>
        <v>B2</v>
      </c>
      <c r="F228">
        <v>27</v>
      </c>
      <c r="G228">
        <f>F229</f>
        <v>85</v>
      </c>
      <c r="H228" t="str">
        <f>G229</f>
        <v>A1</v>
      </c>
      <c r="I228">
        <v>29</v>
      </c>
      <c r="J228">
        <f>I229</f>
        <v>88</v>
      </c>
      <c r="K228" t="str">
        <f>J229</f>
        <v>A1</v>
      </c>
      <c r="L228">
        <v>28</v>
      </c>
      <c r="M228">
        <f>L229</f>
        <v>94</v>
      </c>
      <c r="N228" t="str">
        <f>M229</f>
        <v>A1</v>
      </c>
      <c r="O228">
        <v>302</v>
      </c>
      <c r="P228">
        <f>O229</f>
        <v>84</v>
      </c>
      <c r="Q228" t="str">
        <f>P229</f>
        <v>A2</v>
      </c>
      <c r="R228" t="s">
        <v>307</v>
      </c>
    </row>
    <row r="229" spans="1:18" x14ac:dyDescent="0.25">
      <c r="C229">
        <v>78</v>
      </c>
      <c r="D229" t="s">
        <v>309</v>
      </c>
      <c r="F229">
        <v>85</v>
      </c>
      <c r="G229" t="s">
        <v>305</v>
      </c>
      <c r="I229">
        <v>88</v>
      </c>
      <c r="J229" t="s">
        <v>305</v>
      </c>
      <c r="L229">
        <v>94</v>
      </c>
      <c r="M229" t="s">
        <v>305</v>
      </c>
      <c r="O229">
        <v>84</v>
      </c>
      <c r="P229" t="s">
        <v>306</v>
      </c>
    </row>
    <row r="230" spans="1:18" x14ac:dyDescent="0.25">
      <c r="A230">
        <v>23605999</v>
      </c>
      <c r="B230" t="s">
        <v>428</v>
      </c>
      <c r="C230">
        <v>301</v>
      </c>
      <c r="D230">
        <f>C231</f>
        <v>87</v>
      </c>
      <c r="E230" t="str">
        <f>D231</f>
        <v>A2</v>
      </c>
      <c r="F230">
        <v>27</v>
      </c>
      <c r="G230">
        <f>F231</f>
        <v>85</v>
      </c>
      <c r="H230" t="str">
        <f>G231</f>
        <v>A1</v>
      </c>
      <c r="I230">
        <v>29</v>
      </c>
      <c r="J230">
        <f>I231</f>
        <v>80</v>
      </c>
      <c r="K230" t="str">
        <f>J231</f>
        <v>A2</v>
      </c>
      <c r="L230">
        <v>37</v>
      </c>
      <c r="M230">
        <f>L231</f>
        <v>75</v>
      </c>
      <c r="N230" t="str">
        <f>M231</f>
        <v>C1</v>
      </c>
      <c r="O230">
        <v>30</v>
      </c>
      <c r="P230">
        <f>O231</f>
        <v>76</v>
      </c>
      <c r="Q230" t="str">
        <f>P231</f>
        <v>B1</v>
      </c>
      <c r="R230" t="s">
        <v>307</v>
      </c>
    </row>
    <row r="231" spans="1:18" x14ac:dyDescent="0.25">
      <c r="C231">
        <v>87</v>
      </c>
      <c r="D231" t="s">
        <v>306</v>
      </c>
      <c r="F231">
        <v>85</v>
      </c>
      <c r="G231" t="s">
        <v>305</v>
      </c>
      <c r="I231">
        <v>80</v>
      </c>
      <c r="J231" t="s">
        <v>306</v>
      </c>
      <c r="L231">
        <v>75</v>
      </c>
      <c r="M231" t="s">
        <v>313</v>
      </c>
      <c r="O231">
        <v>76</v>
      </c>
      <c r="P231" t="s">
        <v>308</v>
      </c>
    </row>
    <row r="232" spans="1:18" x14ac:dyDescent="0.25">
      <c r="A232">
        <v>23606000</v>
      </c>
      <c r="B232" t="s">
        <v>429</v>
      </c>
      <c r="C232">
        <v>301</v>
      </c>
      <c r="D232">
        <f>C233</f>
        <v>90</v>
      </c>
      <c r="E232" t="str">
        <f>D233</f>
        <v>A2</v>
      </c>
      <c r="F232">
        <v>27</v>
      </c>
      <c r="G232">
        <f>F233</f>
        <v>96</v>
      </c>
      <c r="H232" t="str">
        <f>G233</f>
        <v>A1</v>
      </c>
      <c r="I232">
        <v>29</v>
      </c>
      <c r="J232">
        <f>I233</f>
        <v>92</v>
      </c>
      <c r="K232" t="str">
        <f>J233</f>
        <v>A1</v>
      </c>
      <c r="L232">
        <v>37</v>
      </c>
      <c r="M232">
        <f>L233</f>
        <v>95</v>
      </c>
      <c r="N232" t="str">
        <f>M233</f>
        <v>A1</v>
      </c>
      <c r="O232">
        <v>30</v>
      </c>
      <c r="P232">
        <f>O233</f>
        <v>92</v>
      </c>
      <c r="Q232" t="str">
        <f>P233</f>
        <v>A1</v>
      </c>
      <c r="R232" t="s">
        <v>307</v>
      </c>
    </row>
    <row r="233" spans="1:18" x14ac:dyDescent="0.25">
      <c r="C233">
        <v>90</v>
      </c>
      <c r="D233" t="s">
        <v>306</v>
      </c>
      <c r="F233">
        <v>96</v>
      </c>
      <c r="G233" t="s">
        <v>305</v>
      </c>
      <c r="I233">
        <v>92</v>
      </c>
      <c r="J233" t="s">
        <v>305</v>
      </c>
      <c r="L233">
        <v>95</v>
      </c>
      <c r="M233" t="s">
        <v>305</v>
      </c>
      <c r="O233">
        <v>92</v>
      </c>
      <c r="P233" t="s">
        <v>305</v>
      </c>
    </row>
    <row r="234" spans="1:18" x14ac:dyDescent="0.25">
      <c r="A234">
        <v>23606001</v>
      </c>
      <c r="B234" t="s">
        <v>430</v>
      </c>
      <c r="C234">
        <v>301</v>
      </c>
      <c r="D234">
        <f>C235</f>
        <v>83</v>
      </c>
      <c r="E234" t="str">
        <f>D235</f>
        <v>B1</v>
      </c>
      <c r="F234">
        <v>27</v>
      </c>
      <c r="G234">
        <f>F235</f>
        <v>83</v>
      </c>
      <c r="H234" t="str">
        <f>G235</f>
        <v>A2</v>
      </c>
      <c r="I234">
        <v>29</v>
      </c>
      <c r="J234">
        <f>I235</f>
        <v>66</v>
      </c>
      <c r="K234" t="str">
        <f>J235</f>
        <v>B2</v>
      </c>
      <c r="L234">
        <v>28</v>
      </c>
      <c r="M234">
        <f>L235</f>
        <v>77</v>
      </c>
      <c r="N234" t="str">
        <f>M235</f>
        <v>A2</v>
      </c>
      <c r="O234">
        <v>302</v>
      </c>
      <c r="P234">
        <f>O235</f>
        <v>56</v>
      </c>
      <c r="Q234" t="str">
        <f>P235</f>
        <v>D1</v>
      </c>
      <c r="R234" t="s">
        <v>307</v>
      </c>
    </row>
    <row r="235" spans="1:18" x14ac:dyDescent="0.25">
      <c r="C235">
        <v>83</v>
      </c>
      <c r="D235" t="s">
        <v>308</v>
      </c>
      <c r="F235">
        <v>83</v>
      </c>
      <c r="G235" t="s">
        <v>306</v>
      </c>
      <c r="I235">
        <v>66</v>
      </c>
      <c r="J235" t="s">
        <v>309</v>
      </c>
      <c r="L235">
        <v>77</v>
      </c>
      <c r="M235" t="s">
        <v>306</v>
      </c>
      <c r="O235">
        <v>56</v>
      </c>
      <c r="P235" t="s">
        <v>314</v>
      </c>
    </row>
    <row r="236" spans="1:18" x14ac:dyDescent="0.25">
      <c r="D236">
        <f>C237</f>
        <v>301</v>
      </c>
      <c r="E236">
        <f>D237</f>
        <v>81</v>
      </c>
    </row>
    <row r="237" spans="1:18" x14ac:dyDescent="0.25">
      <c r="A237">
        <v>23606002</v>
      </c>
      <c r="B237" t="s">
        <v>431</v>
      </c>
      <c r="C237">
        <v>301</v>
      </c>
      <c r="D237">
        <f>C238</f>
        <v>81</v>
      </c>
      <c r="E237" t="str">
        <f>D238</f>
        <v>B1</v>
      </c>
      <c r="F237">
        <v>27</v>
      </c>
      <c r="G237">
        <f>F238</f>
        <v>62</v>
      </c>
      <c r="H237" t="str">
        <f>G238</f>
        <v>B2</v>
      </c>
      <c r="I237">
        <v>29</v>
      </c>
      <c r="J237">
        <f>I238</f>
        <v>73</v>
      </c>
      <c r="K237" t="str">
        <f>J238</f>
        <v>B1</v>
      </c>
      <c r="L237">
        <v>49</v>
      </c>
      <c r="M237">
        <f>L238</f>
        <v>83</v>
      </c>
      <c r="N237" t="str">
        <f>M238</f>
        <v>C2</v>
      </c>
      <c r="O237">
        <v>48</v>
      </c>
      <c r="P237">
        <f>O238</f>
        <v>78</v>
      </c>
      <c r="Q237" t="str">
        <f>P238</f>
        <v>B2</v>
      </c>
      <c r="R237" t="s">
        <v>307</v>
      </c>
    </row>
    <row r="238" spans="1:18" x14ac:dyDescent="0.25">
      <c r="C238">
        <v>81</v>
      </c>
      <c r="D238" t="s">
        <v>308</v>
      </c>
      <c r="F238">
        <v>62</v>
      </c>
      <c r="G238" t="s">
        <v>309</v>
      </c>
      <c r="I238">
        <v>73</v>
      </c>
      <c r="J238" t="s">
        <v>308</v>
      </c>
      <c r="L238">
        <v>83</v>
      </c>
      <c r="M238" t="s">
        <v>312</v>
      </c>
      <c r="O238">
        <v>78</v>
      </c>
      <c r="P238" t="s">
        <v>309</v>
      </c>
    </row>
    <row r="239" spans="1:18" x14ac:dyDescent="0.25">
      <c r="A239">
        <v>23606003</v>
      </c>
      <c r="B239" t="s">
        <v>317</v>
      </c>
      <c r="C239">
        <v>301</v>
      </c>
      <c r="D239">
        <f>C240</f>
        <v>98</v>
      </c>
      <c r="E239" t="str">
        <f>D240</f>
        <v>A1</v>
      </c>
      <c r="F239">
        <v>27</v>
      </c>
      <c r="G239">
        <f>F240</f>
        <v>100</v>
      </c>
      <c r="H239" t="str">
        <f>G240</f>
        <v>A1</v>
      </c>
      <c r="I239">
        <v>29</v>
      </c>
      <c r="J239">
        <f>I240</f>
        <v>97</v>
      </c>
      <c r="K239" t="str">
        <f>J240</f>
        <v>A1</v>
      </c>
      <c r="L239">
        <v>41</v>
      </c>
      <c r="M239">
        <f>L240</f>
        <v>88</v>
      </c>
      <c r="N239" t="str">
        <f>M240</f>
        <v>A1</v>
      </c>
      <c r="O239">
        <v>83</v>
      </c>
      <c r="P239">
        <f>O240</f>
        <v>97</v>
      </c>
      <c r="Q239" t="str">
        <f>P240</f>
        <v>A1</v>
      </c>
      <c r="R239" t="s">
        <v>307</v>
      </c>
    </row>
    <row r="240" spans="1:18" x14ac:dyDescent="0.25">
      <c r="C240">
        <v>98</v>
      </c>
      <c r="D240" t="s">
        <v>305</v>
      </c>
      <c r="F240">
        <v>100</v>
      </c>
      <c r="G240" t="s">
        <v>305</v>
      </c>
      <c r="I240">
        <v>97</v>
      </c>
      <c r="J240" t="s">
        <v>305</v>
      </c>
      <c r="L240">
        <v>88</v>
      </c>
      <c r="M240" t="s">
        <v>305</v>
      </c>
      <c r="O240">
        <v>97</v>
      </c>
      <c r="P240" t="s">
        <v>305</v>
      </c>
    </row>
    <row r="241" spans="1:18" x14ac:dyDescent="0.25">
      <c r="A241">
        <v>23606004</v>
      </c>
      <c r="B241" t="s">
        <v>432</v>
      </c>
      <c r="C241">
        <v>301</v>
      </c>
      <c r="D241">
        <f>C242</f>
        <v>85</v>
      </c>
      <c r="E241" t="str">
        <f>D242</f>
        <v>B1</v>
      </c>
      <c r="F241">
        <v>27</v>
      </c>
      <c r="G241">
        <f>F242</f>
        <v>95</v>
      </c>
      <c r="H241" t="str">
        <f>G242</f>
        <v>A1</v>
      </c>
      <c r="I241">
        <v>29</v>
      </c>
      <c r="J241">
        <f>I242</f>
        <v>91</v>
      </c>
      <c r="K241" t="str">
        <f>J242</f>
        <v>A1</v>
      </c>
      <c r="L241">
        <v>28</v>
      </c>
      <c r="M241">
        <f>L242</f>
        <v>93</v>
      </c>
      <c r="N241" t="str">
        <f>M242</f>
        <v>A1</v>
      </c>
      <c r="O241">
        <v>49</v>
      </c>
      <c r="P241">
        <f>O242</f>
        <v>96</v>
      </c>
      <c r="Q241" t="str">
        <f>P242</f>
        <v>A2</v>
      </c>
      <c r="R241" t="s">
        <v>307</v>
      </c>
    </row>
    <row r="242" spans="1:18" x14ac:dyDescent="0.25">
      <c r="C242">
        <v>85</v>
      </c>
      <c r="D242" t="s">
        <v>308</v>
      </c>
      <c r="F242">
        <v>95</v>
      </c>
      <c r="G242" t="s">
        <v>305</v>
      </c>
      <c r="I242">
        <v>91</v>
      </c>
      <c r="J242" t="s">
        <v>305</v>
      </c>
      <c r="L242">
        <v>93</v>
      </c>
      <c r="M242" t="s">
        <v>305</v>
      </c>
      <c r="O242">
        <v>96</v>
      </c>
      <c r="P242" t="s">
        <v>306</v>
      </c>
    </row>
    <row r="243" spans="1:18" x14ac:dyDescent="0.25">
      <c r="A243">
        <v>23606005</v>
      </c>
      <c r="B243" t="s">
        <v>433</v>
      </c>
      <c r="C243">
        <v>301</v>
      </c>
      <c r="D243">
        <f>C244</f>
        <v>75</v>
      </c>
      <c r="E243" t="str">
        <f>D244</f>
        <v>C1</v>
      </c>
      <c r="F243">
        <v>27</v>
      </c>
      <c r="G243">
        <f>F244</f>
        <v>53</v>
      </c>
      <c r="H243" t="str">
        <f>G244</f>
        <v>C2</v>
      </c>
      <c r="I243">
        <v>29</v>
      </c>
      <c r="J243">
        <f>I244</f>
        <v>65</v>
      </c>
      <c r="K243" t="str">
        <f>J244</f>
        <v>B2</v>
      </c>
      <c r="L243">
        <v>49</v>
      </c>
      <c r="M243">
        <f>L244</f>
        <v>83</v>
      </c>
      <c r="N243" t="str">
        <f>M244</f>
        <v>C2</v>
      </c>
      <c r="O243">
        <v>48</v>
      </c>
      <c r="P243">
        <f>O244</f>
        <v>80</v>
      </c>
      <c r="Q243" t="str">
        <f>P244</f>
        <v>B2</v>
      </c>
      <c r="R243" t="s">
        <v>307</v>
      </c>
    </row>
    <row r="244" spans="1:18" x14ac:dyDescent="0.25">
      <c r="C244">
        <v>75</v>
      </c>
      <c r="D244" t="s">
        <v>313</v>
      </c>
      <c r="F244">
        <v>53</v>
      </c>
      <c r="G244" t="s">
        <v>312</v>
      </c>
      <c r="I244">
        <v>65</v>
      </c>
      <c r="J244" t="s">
        <v>309</v>
      </c>
      <c r="L244">
        <v>83</v>
      </c>
      <c r="M244" t="s">
        <v>312</v>
      </c>
      <c r="O244">
        <v>80</v>
      </c>
      <c r="P244" t="s">
        <v>309</v>
      </c>
    </row>
    <row r="245" spans="1:18" x14ac:dyDescent="0.25">
      <c r="A245">
        <v>23606006</v>
      </c>
      <c r="B245" t="s">
        <v>434</v>
      </c>
      <c r="C245">
        <v>301</v>
      </c>
      <c r="D245">
        <f>C246</f>
        <v>58</v>
      </c>
      <c r="E245" t="str">
        <f>D246</f>
        <v>D1</v>
      </c>
      <c r="F245">
        <v>27</v>
      </c>
      <c r="G245">
        <f>F246</f>
        <v>65</v>
      </c>
      <c r="H245" t="str">
        <f>G246</f>
        <v>B2</v>
      </c>
      <c r="I245">
        <v>29</v>
      </c>
      <c r="J245">
        <f>I246</f>
        <v>57</v>
      </c>
      <c r="K245" t="str">
        <f>J246</f>
        <v>C2</v>
      </c>
      <c r="L245">
        <v>34</v>
      </c>
      <c r="M245">
        <f>L246</f>
        <v>82</v>
      </c>
      <c r="N245" t="str">
        <f>M246</f>
        <v>D1</v>
      </c>
      <c r="O245">
        <v>49</v>
      </c>
      <c r="P245">
        <f>O246</f>
        <v>87</v>
      </c>
      <c r="Q245" t="str">
        <f>P246</f>
        <v>C1</v>
      </c>
      <c r="R245" t="s">
        <v>307</v>
      </c>
    </row>
    <row r="246" spans="1:18" x14ac:dyDescent="0.25">
      <c r="C246">
        <v>58</v>
      </c>
      <c r="D246" t="s">
        <v>314</v>
      </c>
      <c r="F246">
        <v>65</v>
      </c>
      <c r="G246" t="s">
        <v>309</v>
      </c>
      <c r="I246">
        <v>57</v>
      </c>
      <c r="J246" t="s">
        <v>312</v>
      </c>
      <c r="L246">
        <v>82</v>
      </c>
      <c r="M246" t="s">
        <v>314</v>
      </c>
      <c r="O246">
        <v>87</v>
      </c>
      <c r="P246" t="s">
        <v>313</v>
      </c>
    </row>
    <row r="247" spans="1:18" x14ac:dyDescent="0.25">
      <c r="A247">
        <v>23606007</v>
      </c>
      <c r="B247" t="s">
        <v>435</v>
      </c>
      <c r="C247">
        <v>301</v>
      </c>
      <c r="D247">
        <f>C248</f>
        <v>83</v>
      </c>
      <c r="E247" t="str">
        <f>D248</f>
        <v>B1</v>
      </c>
      <c r="F247">
        <v>27</v>
      </c>
      <c r="G247">
        <f>F248</f>
        <v>96</v>
      </c>
      <c r="H247" t="str">
        <f>G248</f>
        <v>A1</v>
      </c>
      <c r="I247">
        <v>29</v>
      </c>
      <c r="J247">
        <f>I248</f>
        <v>93</v>
      </c>
      <c r="K247" t="str">
        <f>J248</f>
        <v>A1</v>
      </c>
      <c r="L247">
        <v>28</v>
      </c>
      <c r="M247">
        <f>L248</f>
        <v>91</v>
      </c>
      <c r="N247" t="str">
        <f>M248</f>
        <v>A1</v>
      </c>
      <c r="O247">
        <v>37</v>
      </c>
      <c r="P247">
        <f>O248</f>
        <v>65</v>
      </c>
      <c r="Q247" t="str">
        <f>P248</f>
        <v>C2</v>
      </c>
      <c r="R247" t="s">
        <v>307</v>
      </c>
    </row>
    <row r="248" spans="1:18" x14ac:dyDescent="0.25">
      <c r="C248">
        <v>83</v>
      </c>
      <c r="D248" t="s">
        <v>308</v>
      </c>
      <c r="F248">
        <v>96</v>
      </c>
      <c r="G248" t="s">
        <v>305</v>
      </c>
      <c r="I248">
        <v>93</v>
      </c>
      <c r="J248" t="s">
        <v>305</v>
      </c>
      <c r="L248">
        <v>91</v>
      </c>
      <c r="M248" t="s">
        <v>305</v>
      </c>
      <c r="O248">
        <v>65</v>
      </c>
      <c r="P248" t="s">
        <v>312</v>
      </c>
    </row>
    <row r="249" spans="1:18" x14ac:dyDescent="0.25">
      <c r="A249">
        <v>23606008</v>
      </c>
      <c r="B249" t="s">
        <v>436</v>
      </c>
      <c r="C249">
        <v>301</v>
      </c>
      <c r="D249">
        <f>C250</f>
        <v>94</v>
      </c>
      <c r="E249" t="str">
        <f>D250</f>
        <v>A1</v>
      </c>
      <c r="F249">
        <v>27</v>
      </c>
      <c r="G249">
        <f>F250</f>
        <v>87</v>
      </c>
      <c r="H249" t="str">
        <f>G250</f>
        <v>A1</v>
      </c>
      <c r="I249">
        <v>29</v>
      </c>
      <c r="J249">
        <f>I250</f>
        <v>83</v>
      </c>
      <c r="K249" t="str">
        <f>J250</f>
        <v>A2</v>
      </c>
      <c r="L249">
        <v>37</v>
      </c>
      <c r="M249">
        <f>L250</f>
        <v>92</v>
      </c>
      <c r="N249" t="str">
        <f>M250</f>
        <v>A2</v>
      </c>
      <c r="O249">
        <v>34</v>
      </c>
      <c r="P249">
        <f>O250</f>
        <v>95</v>
      </c>
      <c r="Q249" t="str">
        <f>P250</f>
        <v>A2</v>
      </c>
      <c r="R249" t="s">
        <v>307</v>
      </c>
    </row>
    <row r="250" spans="1:18" x14ac:dyDescent="0.25">
      <c r="C250">
        <v>94</v>
      </c>
      <c r="D250" t="s">
        <v>305</v>
      </c>
      <c r="F250">
        <v>87</v>
      </c>
      <c r="G250" t="s">
        <v>305</v>
      </c>
      <c r="I250">
        <v>83</v>
      </c>
      <c r="J250" t="s">
        <v>306</v>
      </c>
      <c r="L250">
        <v>92</v>
      </c>
      <c r="M250" t="s">
        <v>306</v>
      </c>
      <c r="O250">
        <v>95</v>
      </c>
      <c r="P250" t="s">
        <v>306</v>
      </c>
    </row>
    <row r="251" spans="1:18" x14ac:dyDescent="0.25">
      <c r="A251">
        <v>23606009</v>
      </c>
      <c r="B251" t="s">
        <v>437</v>
      </c>
      <c r="C251">
        <v>301</v>
      </c>
      <c r="D251">
        <f>C252</f>
        <v>93</v>
      </c>
      <c r="E251" t="str">
        <f>D252</f>
        <v>A1</v>
      </c>
      <c r="F251">
        <v>27</v>
      </c>
      <c r="G251">
        <f>F252</f>
        <v>85</v>
      </c>
      <c r="H251" t="str">
        <f>G252</f>
        <v>A1</v>
      </c>
      <c r="I251">
        <v>29</v>
      </c>
      <c r="J251">
        <f>I252</f>
        <v>88</v>
      </c>
      <c r="K251" t="str">
        <f>J252</f>
        <v>A1</v>
      </c>
      <c r="L251">
        <v>37</v>
      </c>
      <c r="M251">
        <f>L252</f>
        <v>91</v>
      </c>
      <c r="N251" t="str">
        <f>M252</f>
        <v>A2</v>
      </c>
      <c r="O251">
        <v>83</v>
      </c>
      <c r="P251">
        <f>O252</f>
        <v>76</v>
      </c>
      <c r="Q251" t="str">
        <f>P252</f>
        <v>C1</v>
      </c>
      <c r="R251" t="s">
        <v>307</v>
      </c>
    </row>
    <row r="252" spans="1:18" x14ac:dyDescent="0.25">
      <c r="C252">
        <v>93</v>
      </c>
      <c r="D252" t="s">
        <v>305</v>
      </c>
      <c r="F252">
        <v>85</v>
      </c>
      <c r="G252" t="s">
        <v>305</v>
      </c>
      <c r="I252">
        <v>88</v>
      </c>
      <c r="J252" t="s">
        <v>305</v>
      </c>
      <c r="L252">
        <v>91</v>
      </c>
      <c r="M252" t="s">
        <v>306</v>
      </c>
      <c r="O252">
        <v>76</v>
      </c>
      <c r="P252" t="s">
        <v>313</v>
      </c>
    </row>
    <row r="253" spans="1:18" x14ac:dyDescent="0.25">
      <c r="A253">
        <v>23606010</v>
      </c>
      <c r="B253" t="s">
        <v>438</v>
      </c>
      <c r="C253">
        <v>301</v>
      </c>
      <c r="D253">
        <f>C254</f>
        <v>93</v>
      </c>
      <c r="E253" t="str">
        <f>D254</f>
        <v>A1</v>
      </c>
      <c r="F253">
        <v>27</v>
      </c>
      <c r="G253">
        <f>F254</f>
        <v>96</v>
      </c>
      <c r="H253" t="str">
        <f>G254</f>
        <v>A1</v>
      </c>
      <c r="I253">
        <v>29</v>
      </c>
      <c r="J253">
        <f>I254</f>
        <v>97</v>
      </c>
      <c r="K253" t="str">
        <f>J254</f>
        <v>A1</v>
      </c>
      <c r="L253">
        <v>28</v>
      </c>
      <c r="M253">
        <f>L254</f>
        <v>98</v>
      </c>
      <c r="N253" t="str">
        <f>M254</f>
        <v>A1</v>
      </c>
      <c r="O253">
        <v>37</v>
      </c>
      <c r="P253">
        <f>O254</f>
        <v>97</v>
      </c>
      <c r="Q253" t="str">
        <f>P254</f>
        <v>A1</v>
      </c>
      <c r="R253" t="s">
        <v>307</v>
      </c>
    </row>
    <row r="254" spans="1:18" x14ac:dyDescent="0.25">
      <c r="C254">
        <v>93</v>
      </c>
      <c r="D254" t="s">
        <v>305</v>
      </c>
      <c r="F254">
        <v>96</v>
      </c>
      <c r="G254" t="s">
        <v>305</v>
      </c>
      <c r="I254">
        <v>97</v>
      </c>
      <c r="J254" t="s">
        <v>305</v>
      </c>
      <c r="L254">
        <v>98</v>
      </c>
      <c r="M254" t="s">
        <v>305</v>
      </c>
      <c r="O254">
        <v>97</v>
      </c>
      <c r="P254" t="s">
        <v>305</v>
      </c>
    </row>
    <row r="255" spans="1:18" x14ac:dyDescent="0.25">
      <c r="A255">
        <v>23606011</v>
      </c>
      <c r="B255" t="s">
        <v>439</v>
      </c>
      <c r="C255">
        <v>301</v>
      </c>
      <c r="D255">
        <f>C256</f>
        <v>88</v>
      </c>
      <c r="E255" t="str">
        <f>D256</f>
        <v>A2</v>
      </c>
      <c r="F255">
        <v>27</v>
      </c>
      <c r="G255">
        <f>F256</f>
        <v>77</v>
      </c>
      <c r="H255" t="str">
        <f>G256</f>
        <v>A2</v>
      </c>
      <c r="I255">
        <v>29</v>
      </c>
      <c r="J255">
        <f>I256</f>
        <v>81</v>
      </c>
      <c r="K255" t="str">
        <f>J256</f>
        <v>A2</v>
      </c>
      <c r="L255">
        <v>37</v>
      </c>
      <c r="M255">
        <f>L256</f>
        <v>82</v>
      </c>
      <c r="N255" t="str">
        <f>M256</f>
        <v>B2</v>
      </c>
      <c r="O255">
        <v>48</v>
      </c>
      <c r="P255">
        <f>O256</f>
        <v>86</v>
      </c>
      <c r="Q255" t="str">
        <f>P256</f>
        <v>A2</v>
      </c>
      <c r="R255" t="s">
        <v>307</v>
      </c>
    </row>
    <row r="256" spans="1:18" x14ac:dyDescent="0.25">
      <c r="C256">
        <v>88</v>
      </c>
      <c r="D256" t="s">
        <v>306</v>
      </c>
      <c r="F256">
        <v>77</v>
      </c>
      <c r="G256" t="s">
        <v>306</v>
      </c>
      <c r="I256">
        <v>81</v>
      </c>
      <c r="J256" t="s">
        <v>306</v>
      </c>
      <c r="L256">
        <v>82</v>
      </c>
      <c r="M256" t="s">
        <v>309</v>
      </c>
      <c r="O256">
        <v>86</v>
      </c>
      <c r="P256" t="s">
        <v>306</v>
      </c>
    </row>
    <row r="257" spans="1:18" x14ac:dyDescent="0.25">
      <c r="D257">
        <f>C258</f>
        <v>301</v>
      </c>
      <c r="E257">
        <f>D258</f>
        <v>93</v>
      </c>
      <c r="G257">
        <f>F258</f>
        <v>27</v>
      </c>
      <c r="H257">
        <f>G258</f>
        <v>72</v>
      </c>
      <c r="J257">
        <f>I258</f>
        <v>29</v>
      </c>
      <c r="K257">
        <f>J258</f>
        <v>73</v>
      </c>
      <c r="M257">
        <f>L258</f>
        <v>41</v>
      </c>
      <c r="N257">
        <f>M258</f>
        <v>44</v>
      </c>
    </row>
    <row r="258" spans="1:18" x14ac:dyDescent="0.25">
      <c r="A258">
        <v>23606012</v>
      </c>
      <c r="B258" t="s">
        <v>440</v>
      </c>
      <c r="C258">
        <v>301</v>
      </c>
      <c r="D258">
        <f>C259</f>
        <v>93</v>
      </c>
      <c r="E258" t="str">
        <f>D259</f>
        <v>A1</v>
      </c>
      <c r="F258">
        <v>27</v>
      </c>
      <c r="G258">
        <f>F259</f>
        <v>72</v>
      </c>
      <c r="H258" t="str">
        <f>G259</f>
        <v>B1</v>
      </c>
      <c r="I258">
        <v>29</v>
      </c>
      <c r="J258">
        <f>I259</f>
        <v>73</v>
      </c>
      <c r="K258" t="str">
        <f>J259</f>
        <v>B1</v>
      </c>
      <c r="L258">
        <v>41</v>
      </c>
      <c r="M258">
        <f>L259</f>
        <v>44</v>
      </c>
      <c r="N258" t="str">
        <f>M259</f>
        <v>D2</v>
      </c>
      <c r="O258">
        <v>83</v>
      </c>
      <c r="P258">
        <f>O259</f>
        <v>66</v>
      </c>
      <c r="Q258" t="str">
        <f>P259</f>
        <v>C2</v>
      </c>
      <c r="R258" t="s">
        <v>307</v>
      </c>
    </row>
    <row r="259" spans="1:18" x14ac:dyDescent="0.25">
      <c r="C259">
        <v>93</v>
      </c>
      <c r="D259" t="s">
        <v>305</v>
      </c>
      <c r="F259">
        <v>72</v>
      </c>
      <c r="G259" t="s">
        <v>308</v>
      </c>
      <c r="I259">
        <v>73</v>
      </c>
      <c r="J259" t="s">
        <v>308</v>
      </c>
      <c r="L259">
        <v>44</v>
      </c>
      <c r="M259" t="s">
        <v>310</v>
      </c>
      <c r="O259">
        <v>66</v>
      </c>
      <c r="P259" t="s">
        <v>312</v>
      </c>
    </row>
    <row r="260" spans="1:18" x14ac:dyDescent="0.25">
      <c r="A260">
        <v>23606013</v>
      </c>
      <c r="B260" t="s">
        <v>441</v>
      </c>
      <c r="C260">
        <v>301</v>
      </c>
      <c r="D260">
        <f>C261</f>
        <v>83</v>
      </c>
      <c r="E260" t="str">
        <f>D261</f>
        <v>B1</v>
      </c>
      <c r="F260">
        <v>27</v>
      </c>
      <c r="G260">
        <f>F261</f>
        <v>74</v>
      </c>
      <c r="H260" t="str">
        <f>G261</f>
        <v>B1</v>
      </c>
      <c r="I260">
        <v>29</v>
      </c>
      <c r="J260">
        <f>I261</f>
        <v>84</v>
      </c>
      <c r="K260" t="str">
        <f>J261</f>
        <v>A2</v>
      </c>
      <c r="L260">
        <v>30</v>
      </c>
      <c r="M260">
        <f>L261</f>
        <v>83</v>
      </c>
      <c r="N260" t="str">
        <f>M261</f>
        <v>A2</v>
      </c>
      <c r="O260">
        <v>49</v>
      </c>
      <c r="P260">
        <f>O261</f>
        <v>97</v>
      </c>
      <c r="Q260" t="str">
        <f>P261</f>
        <v>A1</v>
      </c>
      <c r="R260" t="s">
        <v>307</v>
      </c>
    </row>
    <row r="261" spans="1:18" x14ac:dyDescent="0.25">
      <c r="C261">
        <v>83</v>
      </c>
      <c r="D261" t="s">
        <v>308</v>
      </c>
      <c r="F261">
        <v>74</v>
      </c>
      <c r="G261" t="s">
        <v>308</v>
      </c>
      <c r="I261">
        <v>84</v>
      </c>
      <c r="J261" t="s">
        <v>306</v>
      </c>
      <c r="L261">
        <v>83</v>
      </c>
      <c r="M261" t="s">
        <v>306</v>
      </c>
      <c r="O261">
        <v>97</v>
      </c>
      <c r="P261" t="s">
        <v>305</v>
      </c>
    </row>
    <row r="262" spans="1:18" x14ac:dyDescent="0.25">
      <c r="A262">
        <v>23606014</v>
      </c>
      <c r="B262" t="s">
        <v>318</v>
      </c>
      <c r="C262">
        <v>301</v>
      </c>
      <c r="D262">
        <f>C263</f>
        <v>92</v>
      </c>
      <c r="E262" t="str">
        <f>D263</f>
        <v>A1</v>
      </c>
      <c r="F262">
        <v>27</v>
      </c>
      <c r="G262">
        <f>F263</f>
        <v>72</v>
      </c>
      <c r="H262" t="str">
        <f>G263</f>
        <v>B1</v>
      </c>
      <c r="I262">
        <v>29</v>
      </c>
      <c r="J262">
        <f>I263</f>
        <v>81</v>
      </c>
      <c r="K262" t="str">
        <f>J263</f>
        <v>A2</v>
      </c>
      <c r="L262">
        <v>30</v>
      </c>
      <c r="M262">
        <f>L263</f>
        <v>63</v>
      </c>
      <c r="N262" t="str">
        <f>M263</f>
        <v>C1</v>
      </c>
      <c r="O262">
        <v>37</v>
      </c>
      <c r="P262">
        <f>O263</f>
        <v>78</v>
      </c>
      <c r="Q262" t="str">
        <f>P263</f>
        <v>B2</v>
      </c>
      <c r="R262" t="s">
        <v>307</v>
      </c>
    </row>
    <row r="263" spans="1:18" x14ac:dyDescent="0.25">
      <c r="C263">
        <v>92</v>
      </c>
      <c r="D263" t="s">
        <v>305</v>
      </c>
      <c r="F263">
        <v>72</v>
      </c>
      <c r="G263" t="s">
        <v>308</v>
      </c>
      <c r="I263">
        <v>81</v>
      </c>
      <c r="J263" t="s">
        <v>306</v>
      </c>
      <c r="L263">
        <v>63</v>
      </c>
      <c r="M263" t="s">
        <v>313</v>
      </c>
      <c r="O263">
        <v>78</v>
      </c>
      <c r="P263" t="s">
        <v>309</v>
      </c>
    </row>
    <row r="264" spans="1:18" x14ac:dyDescent="0.25">
      <c r="A264">
        <v>23606015</v>
      </c>
      <c r="B264" t="s">
        <v>442</v>
      </c>
      <c r="C264">
        <v>301</v>
      </c>
      <c r="D264">
        <f>C265</f>
        <v>97</v>
      </c>
      <c r="E264" t="str">
        <f>D265</f>
        <v>A1</v>
      </c>
      <c r="F264">
        <v>27</v>
      </c>
      <c r="G264">
        <f>F265</f>
        <v>95</v>
      </c>
      <c r="H264" t="str">
        <f>G265</f>
        <v>A1</v>
      </c>
      <c r="I264">
        <v>29</v>
      </c>
      <c r="J264">
        <f>I265</f>
        <v>95</v>
      </c>
      <c r="K264" t="str">
        <f>J265</f>
        <v>A1</v>
      </c>
      <c r="L264">
        <v>30</v>
      </c>
      <c r="M264">
        <f>L265</f>
        <v>91</v>
      </c>
      <c r="N264" t="str">
        <f>M265</f>
        <v>A1</v>
      </c>
      <c r="O264">
        <v>49</v>
      </c>
      <c r="P264">
        <f>O265</f>
        <v>97</v>
      </c>
      <c r="Q264" t="str">
        <f>P265</f>
        <v>A1</v>
      </c>
      <c r="R264" t="s">
        <v>307</v>
      </c>
    </row>
    <row r="265" spans="1:18" x14ac:dyDescent="0.25">
      <c r="C265">
        <v>97</v>
      </c>
      <c r="D265" t="s">
        <v>305</v>
      </c>
      <c r="F265">
        <v>95</v>
      </c>
      <c r="G265" t="s">
        <v>305</v>
      </c>
      <c r="I265">
        <v>95</v>
      </c>
      <c r="J265" t="s">
        <v>305</v>
      </c>
      <c r="L265">
        <v>91</v>
      </c>
      <c r="M265" t="s">
        <v>305</v>
      </c>
      <c r="O265">
        <v>97</v>
      </c>
      <c r="P265" t="s">
        <v>305</v>
      </c>
    </row>
    <row r="266" spans="1:18" x14ac:dyDescent="0.25">
      <c r="A266">
        <v>23606016</v>
      </c>
      <c r="B266" t="s">
        <v>443</v>
      </c>
      <c r="C266">
        <v>301</v>
      </c>
      <c r="D266">
        <f>C267</f>
        <v>46</v>
      </c>
      <c r="E266" t="str">
        <f>D267</f>
        <v>D2</v>
      </c>
      <c r="F266">
        <v>27</v>
      </c>
      <c r="G266">
        <f>F267</f>
        <v>52</v>
      </c>
      <c r="H266" t="str">
        <f>G267</f>
        <v>C2</v>
      </c>
      <c r="I266">
        <v>29</v>
      </c>
      <c r="J266">
        <f>I267</f>
        <v>61</v>
      </c>
      <c r="K266" t="str">
        <f>J267</f>
        <v>C1</v>
      </c>
      <c r="L266">
        <v>49</v>
      </c>
      <c r="M266">
        <f>L267</f>
        <v>89</v>
      </c>
      <c r="N266" t="str">
        <f>M267</f>
        <v>B2</v>
      </c>
      <c r="O266">
        <v>34</v>
      </c>
      <c r="P266">
        <f>O267</f>
        <v>80</v>
      </c>
      <c r="Q266" t="str">
        <f>P267</f>
        <v>D1</v>
      </c>
      <c r="R266" t="s">
        <v>307</v>
      </c>
    </row>
    <row r="267" spans="1:18" x14ac:dyDescent="0.25">
      <c r="C267">
        <v>46</v>
      </c>
      <c r="D267" t="s">
        <v>310</v>
      </c>
      <c r="F267">
        <v>52</v>
      </c>
      <c r="G267" t="s">
        <v>312</v>
      </c>
      <c r="I267">
        <v>61</v>
      </c>
      <c r="J267" t="s">
        <v>313</v>
      </c>
      <c r="L267">
        <v>89</v>
      </c>
      <c r="M267" t="s">
        <v>309</v>
      </c>
      <c r="O267">
        <v>80</v>
      </c>
      <c r="P267" t="s">
        <v>314</v>
      </c>
    </row>
    <row r="268" spans="1:18" x14ac:dyDescent="0.25">
      <c r="A268">
        <v>23606017</v>
      </c>
      <c r="B268" t="s">
        <v>444</v>
      </c>
      <c r="C268">
        <v>301</v>
      </c>
      <c r="D268">
        <f>C269</f>
        <v>95</v>
      </c>
      <c r="E268" t="str">
        <f>D269</f>
        <v>A1</v>
      </c>
      <c r="F268">
        <v>27</v>
      </c>
      <c r="G268">
        <f>F269</f>
        <v>93</v>
      </c>
      <c r="H268" t="str">
        <f>G269</f>
        <v>A1</v>
      </c>
      <c r="I268">
        <v>29</v>
      </c>
      <c r="J268">
        <f>I269</f>
        <v>96</v>
      </c>
      <c r="K268" t="str">
        <f>J269</f>
        <v>A1</v>
      </c>
      <c r="L268">
        <v>28</v>
      </c>
      <c r="M268">
        <f>L269</f>
        <v>87</v>
      </c>
      <c r="N268" t="str">
        <f>M269</f>
        <v>A1</v>
      </c>
      <c r="O268">
        <v>302</v>
      </c>
      <c r="P268">
        <f>O269</f>
        <v>88</v>
      </c>
      <c r="Q268" t="str">
        <f>P269</f>
        <v>A1</v>
      </c>
      <c r="R268" t="s">
        <v>307</v>
      </c>
    </row>
    <row r="269" spans="1:18" x14ac:dyDescent="0.25">
      <c r="C269">
        <v>95</v>
      </c>
      <c r="D269" t="s">
        <v>305</v>
      </c>
      <c r="F269">
        <v>93</v>
      </c>
      <c r="G269" t="s">
        <v>305</v>
      </c>
      <c r="I269">
        <v>96</v>
      </c>
      <c r="J269" t="s">
        <v>305</v>
      </c>
      <c r="L269">
        <v>87</v>
      </c>
      <c r="M269" t="s">
        <v>305</v>
      </c>
      <c r="O269">
        <v>88</v>
      </c>
      <c r="P269" t="s">
        <v>305</v>
      </c>
    </row>
    <row r="270" spans="1:18" x14ac:dyDescent="0.25">
      <c r="A270">
        <v>23606018</v>
      </c>
      <c r="B270" t="s">
        <v>445</v>
      </c>
      <c r="C270">
        <v>301</v>
      </c>
      <c r="D270">
        <f>C271</f>
        <v>89</v>
      </c>
      <c r="E270" t="str">
        <f>D271</f>
        <v>A2</v>
      </c>
      <c r="F270">
        <v>27</v>
      </c>
      <c r="G270">
        <f>F271</f>
        <v>67</v>
      </c>
      <c r="H270" t="str">
        <f>G271</f>
        <v>B1</v>
      </c>
      <c r="I270">
        <v>29</v>
      </c>
      <c r="J270">
        <f>I271</f>
        <v>74</v>
      </c>
      <c r="K270" t="str">
        <f>J271</f>
        <v>B1</v>
      </c>
      <c r="L270">
        <v>37</v>
      </c>
      <c r="M270">
        <f>L271</f>
        <v>82</v>
      </c>
      <c r="N270" t="str">
        <f>M271</f>
        <v>B2</v>
      </c>
      <c r="O270">
        <v>83</v>
      </c>
      <c r="P270">
        <f>O271</f>
        <v>61</v>
      </c>
      <c r="Q270" t="str">
        <f>P271</f>
        <v>D1</v>
      </c>
      <c r="R270" t="s">
        <v>307</v>
      </c>
    </row>
    <row r="271" spans="1:18" x14ac:dyDescent="0.25">
      <c r="C271">
        <v>89</v>
      </c>
      <c r="D271" t="s">
        <v>306</v>
      </c>
      <c r="F271">
        <v>67</v>
      </c>
      <c r="G271" t="s">
        <v>308</v>
      </c>
      <c r="I271">
        <v>74</v>
      </c>
      <c r="J271" t="s">
        <v>308</v>
      </c>
      <c r="L271">
        <v>82</v>
      </c>
      <c r="M271" t="s">
        <v>309</v>
      </c>
      <c r="O271">
        <v>61</v>
      </c>
      <c r="P271" t="s">
        <v>314</v>
      </c>
    </row>
    <row r="272" spans="1:18" x14ac:dyDescent="0.25">
      <c r="A272">
        <v>23606019</v>
      </c>
      <c r="B272" t="s">
        <v>446</v>
      </c>
      <c r="C272">
        <v>301</v>
      </c>
      <c r="D272">
        <f>C273</f>
        <v>83</v>
      </c>
      <c r="E272" t="str">
        <f>D273</f>
        <v>B1</v>
      </c>
      <c r="F272">
        <v>27</v>
      </c>
      <c r="G272">
        <f>F273</f>
        <v>93</v>
      </c>
      <c r="H272" t="str">
        <f>G273</f>
        <v>A1</v>
      </c>
      <c r="I272">
        <v>29</v>
      </c>
      <c r="J272">
        <f>I273</f>
        <v>91</v>
      </c>
      <c r="K272" t="str">
        <f>J273</f>
        <v>A1</v>
      </c>
      <c r="L272">
        <v>49</v>
      </c>
      <c r="M272">
        <f>L273</f>
        <v>94</v>
      </c>
      <c r="N272" t="str">
        <f>M273</f>
        <v>A2</v>
      </c>
      <c r="O272">
        <v>48</v>
      </c>
      <c r="P272">
        <f>O273</f>
        <v>95</v>
      </c>
      <c r="Q272" t="str">
        <f>P273</f>
        <v>A1</v>
      </c>
      <c r="R272" t="s">
        <v>307</v>
      </c>
    </row>
    <row r="273" spans="1:18" x14ac:dyDescent="0.25">
      <c r="C273">
        <v>83</v>
      </c>
      <c r="D273" t="s">
        <v>308</v>
      </c>
      <c r="F273">
        <v>93</v>
      </c>
      <c r="G273" t="s">
        <v>305</v>
      </c>
      <c r="I273">
        <v>91</v>
      </c>
      <c r="J273" t="s">
        <v>305</v>
      </c>
      <c r="L273">
        <v>94</v>
      </c>
      <c r="M273" t="s">
        <v>306</v>
      </c>
      <c r="O273">
        <v>95</v>
      </c>
      <c r="P273" t="s">
        <v>305</v>
      </c>
    </row>
    <row r="274" spans="1:18" x14ac:dyDescent="0.25">
      <c r="A274">
        <v>23606020</v>
      </c>
      <c r="B274" t="s">
        <v>447</v>
      </c>
      <c r="C274">
        <v>301</v>
      </c>
      <c r="D274">
        <f>C275</f>
        <v>97</v>
      </c>
      <c r="E274" t="str">
        <f>D275</f>
        <v>A1</v>
      </c>
      <c r="F274">
        <v>27</v>
      </c>
      <c r="G274">
        <f>F275</f>
        <v>97</v>
      </c>
      <c r="H274" t="str">
        <f>G275</f>
        <v>A1</v>
      </c>
      <c r="I274">
        <v>29</v>
      </c>
      <c r="J274">
        <f>I275</f>
        <v>98</v>
      </c>
      <c r="K274" t="str">
        <f>J275</f>
        <v>A1</v>
      </c>
      <c r="L274">
        <v>28</v>
      </c>
      <c r="M274">
        <f>L275</f>
        <v>100</v>
      </c>
      <c r="N274" t="str">
        <f>M275</f>
        <v>A1</v>
      </c>
      <c r="O274">
        <v>37</v>
      </c>
      <c r="P274">
        <f>O275</f>
        <v>95</v>
      </c>
      <c r="Q274" t="str">
        <f>P275</f>
        <v>A1</v>
      </c>
      <c r="R274" t="s">
        <v>307</v>
      </c>
    </row>
    <row r="275" spans="1:18" x14ac:dyDescent="0.25">
      <c r="C275">
        <v>97</v>
      </c>
      <c r="D275" t="s">
        <v>305</v>
      </c>
      <c r="F275">
        <v>97</v>
      </c>
      <c r="G275" t="s">
        <v>305</v>
      </c>
      <c r="I275">
        <v>98</v>
      </c>
      <c r="J275" t="s">
        <v>305</v>
      </c>
      <c r="L275">
        <v>100</v>
      </c>
      <c r="M275" t="s">
        <v>305</v>
      </c>
      <c r="O275">
        <v>95</v>
      </c>
      <c r="P275" t="s">
        <v>305</v>
      </c>
    </row>
    <row r="276" spans="1:18" x14ac:dyDescent="0.25">
      <c r="A276">
        <v>23606021</v>
      </c>
      <c r="B276" t="s">
        <v>448</v>
      </c>
      <c r="C276">
        <v>301</v>
      </c>
      <c r="D276">
        <f>C277</f>
        <v>74</v>
      </c>
      <c r="E276" t="str">
        <f>D277</f>
        <v>C1</v>
      </c>
      <c r="F276">
        <v>27</v>
      </c>
      <c r="G276">
        <f>F277</f>
        <v>52</v>
      </c>
      <c r="H276" t="str">
        <f>G277</f>
        <v>C2</v>
      </c>
      <c r="I276">
        <v>29</v>
      </c>
      <c r="J276">
        <f>I277</f>
        <v>58</v>
      </c>
      <c r="K276" t="str">
        <f>J277</f>
        <v>C2</v>
      </c>
      <c r="L276">
        <v>48</v>
      </c>
      <c r="M276">
        <f>L277</f>
        <v>66</v>
      </c>
      <c r="N276" t="str">
        <f>M277</f>
        <v>C2</v>
      </c>
      <c r="O276">
        <v>49</v>
      </c>
      <c r="P276">
        <f>O277</f>
        <v>88</v>
      </c>
      <c r="Q276" t="str">
        <f>P277</f>
        <v>C1</v>
      </c>
      <c r="R276" t="s">
        <v>307</v>
      </c>
    </row>
    <row r="277" spans="1:18" x14ac:dyDescent="0.25">
      <c r="C277">
        <v>74</v>
      </c>
      <c r="D277" t="s">
        <v>313</v>
      </c>
      <c r="F277">
        <v>52</v>
      </c>
      <c r="G277" t="s">
        <v>312</v>
      </c>
      <c r="I277">
        <v>58</v>
      </c>
      <c r="J277" t="s">
        <v>312</v>
      </c>
      <c r="L277">
        <v>66</v>
      </c>
      <c r="M277" t="s">
        <v>312</v>
      </c>
      <c r="O277">
        <v>88</v>
      </c>
      <c r="P277" t="s">
        <v>313</v>
      </c>
    </row>
    <row r="278" spans="1:18" x14ac:dyDescent="0.25">
      <c r="G278">
        <f>F279</f>
        <v>27</v>
      </c>
      <c r="H278">
        <f>G279</f>
        <v>60</v>
      </c>
      <c r="J278">
        <f>I279</f>
        <v>29</v>
      </c>
      <c r="K278">
        <f>J279</f>
        <v>59</v>
      </c>
      <c r="P278">
        <f>O279</f>
        <v>34</v>
      </c>
      <c r="Q278">
        <f>P279</f>
        <v>80</v>
      </c>
    </row>
    <row r="279" spans="1:18" x14ac:dyDescent="0.25">
      <c r="A279">
        <v>23606022</v>
      </c>
      <c r="B279" t="s">
        <v>449</v>
      </c>
      <c r="C279">
        <v>301</v>
      </c>
      <c r="D279">
        <f>C280</f>
        <v>70</v>
      </c>
      <c r="E279" t="str">
        <f>D280</f>
        <v>C1</v>
      </c>
      <c r="F279">
        <v>27</v>
      </c>
      <c r="G279">
        <f>F280</f>
        <v>60</v>
      </c>
      <c r="H279" t="str">
        <f>G280</f>
        <v>C1</v>
      </c>
      <c r="I279">
        <v>29</v>
      </c>
      <c r="J279">
        <f>I280</f>
        <v>59</v>
      </c>
      <c r="K279" t="str">
        <f>J280</f>
        <v>C1</v>
      </c>
      <c r="L279">
        <v>49</v>
      </c>
      <c r="M279">
        <f>L280</f>
        <v>84</v>
      </c>
      <c r="N279" t="str">
        <f>M280</f>
        <v>C2</v>
      </c>
      <c r="O279">
        <v>34</v>
      </c>
      <c r="P279">
        <f>O280</f>
        <v>80</v>
      </c>
      <c r="Q279" t="str">
        <f>P280</f>
        <v>D1</v>
      </c>
      <c r="R279" t="s">
        <v>307</v>
      </c>
    </row>
    <row r="280" spans="1:18" x14ac:dyDescent="0.25">
      <c r="C280">
        <v>70</v>
      </c>
      <c r="D280" t="s">
        <v>313</v>
      </c>
      <c r="F280">
        <v>60</v>
      </c>
      <c r="G280" t="s">
        <v>313</v>
      </c>
      <c r="I280">
        <v>59</v>
      </c>
      <c r="J280" t="s">
        <v>313</v>
      </c>
      <c r="L280">
        <v>84</v>
      </c>
      <c r="M280" t="s">
        <v>312</v>
      </c>
      <c r="O280">
        <v>80</v>
      </c>
      <c r="P280" t="s">
        <v>314</v>
      </c>
    </row>
    <row r="281" spans="1:18" x14ac:dyDescent="0.25">
      <c r="A281">
        <v>23606023</v>
      </c>
      <c r="B281" t="s">
        <v>450</v>
      </c>
      <c r="C281">
        <v>301</v>
      </c>
      <c r="D281">
        <f>C282</f>
        <v>92</v>
      </c>
      <c r="E281" t="str">
        <f>D282</f>
        <v>A1</v>
      </c>
      <c r="F281">
        <v>27</v>
      </c>
      <c r="G281">
        <f>F282</f>
        <v>89</v>
      </c>
      <c r="H281" t="str">
        <f>G282</f>
        <v>A1</v>
      </c>
      <c r="I281">
        <v>29</v>
      </c>
      <c r="J281">
        <f>I282</f>
        <v>88</v>
      </c>
      <c r="K281" t="str">
        <f>J282</f>
        <v>A1</v>
      </c>
      <c r="L281">
        <v>37</v>
      </c>
      <c r="M281">
        <f>L282</f>
        <v>95</v>
      </c>
      <c r="N281" t="str">
        <f>M282</f>
        <v>A1</v>
      </c>
      <c r="O281">
        <v>83</v>
      </c>
      <c r="P281">
        <f>O282</f>
        <v>86</v>
      </c>
      <c r="Q281" t="str">
        <f>P282</f>
        <v>B1</v>
      </c>
      <c r="R281" t="s">
        <v>307</v>
      </c>
    </row>
    <row r="282" spans="1:18" x14ac:dyDescent="0.25">
      <c r="C282">
        <v>92</v>
      </c>
      <c r="D282" t="s">
        <v>305</v>
      </c>
      <c r="F282">
        <v>89</v>
      </c>
      <c r="G282" t="s">
        <v>305</v>
      </c>
      <c r="I282">
        <v>88</v>
      </c>
      <c r="J282" t="s">
        <v>305</v>
      </c>
      <c r="L282">
        <v>95</v>
      </c>
      <c r="M282" t="s">
        <v>305</v>
      </c>
      <c r="O282">
        <v>86</v>
      </c>
      <c r="P282" t="s">
        <v>308</v>
      </c>
    </row>
    <row r="283" spans="1:18" x14ac:dyDescent="0.25">
      <c r="A283">
        <v>23606024</v>
      </c>
      <c r="B283" t="s">
        <v>451</v>
      </c>
      <c r="C283">
        <v>301</v>
      </c>
      <c r="D283">
        <f>C284</f>
        <v>87</v>
      </c>
      <c r="E283" t="str">
        <f>D284</f>
        <v>A2</v>
      </c>
      <c r="F283">
        <v>27</v>
      </c>
      <c r="G283">
        <f>F284</f>
        <v>60</v>
      </c>
      <c r="H283" t="str">
        <f>G284</f>
        <v>C1</v>
      </c>
      <c r="I283">
        <v>29</v>
      </c>
      <c r="J283">
        <f>I284</f>
        <v>67</v>
      </c>
      <c r="K283" t="str">
        <f>J284</f>
        <v>B2</v>
      </c>
      <c r="L283">
        <v>41</v>
      </c>
      <c r="M283">
        <f>L284</f>
        <v>44</v>
      </c>
      <c r="N283" t="str">
        <f>M284</f>
        <v>D2</v>
      </c>
      <c r="O283">
        <v>30</v>
      </c>
      <c r="P283">
        <f>O284</f>
        <v>69</v>
      </c>
      <c r="Q283" t="str">
        <f>P284</f>
        <v>B2</v>
      </c>
      <c r="R283" t="s">
        <v>307</v>
      </c>
    </row>
    <row r="284" spans="1:18" x14ac:dyDescent="0.25">
      <c r="C284">
        <v>87</v>
      </c>
      <c r="D284" t="s">
        <v>306</v>
      </c>
      <c r="F284">
        <v>60</v>
      </c>
      <c r="G284" t="s">
        <v>313</v>
      </c>
      <c r="I284">
        <v>67</v>
      </c>
      <c r="J284" t="s">
        <v>309</v>
      </c>
      <c r="L284">
        <v>44</v>
      </c>
      <c r="M284" t="s">
        <v>310</v>
      </c>
      <c r="O284">
        <v>69</v>
      </c>
      <c r="P284" t="s">
        <v>309</v>
      </c>
    </row>
    <row r="285" spans="1:18" x14ac:dyDescent="0.25">
      <c r="A285">
        <v>23606025</v>
      </c>
      <c r="B285" t="s">
        <v>452</v>
      </c>
      <c r="C285">
        <v>301</v>
      </c>
      <c r="D285">
        <f>C286</f>
        <v>73</v>
      </c>
      <c r="E285" t="str">
        <f>D286</f>
        <v>C1</v>
      </c>
      <c r="F285">
        <v>27</v>
      </c>
      <c r="G285">
        <f>F286</f>
        <v>91</v>
      </c>
      <c r="H285" t="str">
        <f>G286</f>
        <v>A1</v>
      </c>
      <c r="I285">
        <v>29</v>
      </c>
      <c r="J285">
        <f>I286</f>
        <v>90</v>
      </c>
      <c r="K285" t="str">
        <f>J286</f>
        <v>A1</v>
      </c>
      <c r="L285">
        <v>41</v>
      </c>
      <c r="M285">
        <f>L286</f>
        <v>61</v>
      </c>
      <c r="N285" t="str">
        <f>M286</f>
        <v>B2</v>
      </c>
      <c r="O285">
        <v>30</v>
      </c>
      <c r="P285">
        <f>O286</f>
        <v>87</v>
      </c>
      <c r="Q285" t="str">
        <f>P286</f>
        <v>A2</v>
      </c>
      <c r="R285" t="s">
        <v>307</v>
      </c>
    </row>
    <row r="286" spans="1:18" x14ac:dyDescent="0.25">
      <c r="C286">
        <v>73</v>
      </c>
      <c r="D286" t="s">
        <v>313</v>
      </c>
      <c r="F286">
        <v>91</v>
      </c>
      <c r="G286" t="s">
        <v>305</v>
      </c>
      <c r="I286">
        <v>90</v>
      </c>
      <c r="J286" t="s">
        <v>305</v>
      </c>
      <c r="L286">
        <v>61</v>
      </c>
      <c r="M286" t="s">
        <v>309</v>
      </c>
      <c r="O286">
        <v>87</v>
      </c>
      <c r="P286" t="s">
        <v>306</v>
      </c>
    </row>
    <row r="287" spans="1:18" x14ac:dyDescent="0.25">
      <c r="A287">
        <v>23606026</v>
      </c>
      <c r="B287" t="s">
        <v>453</v>
      </c>
      <c r="C287">
        <v>301</v>
      </c>
      <c r="D287">
        <f>C288</f>
        <v>94</v>
      </c>
      <c r="E287" t="str">
        <f>D288</f>
        <v>A1</v>
      </c>
      <c r="F287">
        <v>27</v>
      </c>
      <c r="G287">
        <f>F288</f>
        <v>93</v>
      </c>
      <c r="H287" t="str">
        <f>G288</f>
        <v>A1</v>
      </c>
      <c r="I287">
        <v>29</v>
      </c>
      <c r="J287">
        <f>I288</f>
        <v>80</v>
      </c>
      <c r="K287" t="str">
        <f>J288</f>
        <v>A2</v>
      </c>
      <c r="L287">
        <v>28</v>
      </c>
      <c r="M287">
        <f>L288</f>
        <v>95</v>
      </c>
      <c r="N287" t="str">
        <f>M288</f>
        <v>A1</v>
      </c>
      <c r="O287">
        <v>302</v>
      </c>
      <c r="P287">
        <f>O288</f>
        <v>87</v>
      </c>
      <c r="Q287" t="str">
        <f>P288</f>
        <v>A1</v>
      </c>
      <c r="R287" t="s">
        <v>307</v>
      </c>
    </row>
    <row r="288" spans="1:18" x14ac:dyDescent="0.25">
      <c r="C288">
        <v>94</v>
      </c>
      <c r="D288" t="s">
        <v>305</v>
      </c>
      <c r="F288">
        <v>93</v>
      </c>
      <c r="G288" t="s">
        <v>305</v>
      </c>
      <c r="I288">
        <v>80</v>
      </c>
      <c r="J288" t="s">
        <v>306</v>
      </c>
      <c r="L288">
        <v>95</v>
      </c>
      <c r="M288" t="s">
        <v>305</v>
      </c>
      <c r="O288">
        <v>87</v>
      </c>
      <c r="P288" t="s">
        <v>305</v>
      </c>
    </row>
    <row r="289" spans="1:18" x14ac:dyDescent="0.25">
      <c r="A289">
        <v>23606027</v>
      </c>
      <c r="B289" t="s">
        <v>454</v>
      </c>
      <c r="C289">
        <v>301</v>
      </c>
      <c r="D289">
        <f>C290</f>
        <v>90</v>
      </c>
      <c r="E289" t="str">
        <f>D290</f>
        <v>A2</v>
      </c>
      <c r="F289">
        <v>27</v>
      </c>
      <c r="G289">
        <f>F290</f>
        <v>71</v>
      </c>
      <c r="H289" t="str">
        <f>G290</f>
        <v>B1</v>
      </c>
      <c r="I289">
        <v>29</v>
      </c>
      <c r="J289">
        <f>I290</f>
        <v>66</v>
      </c>
      <c r="K289" t="str">
        <f>J290</f>
        <v>B2</v>
      </c>
      <c r="L289">
        <v>30</v>
      </c>
      <c r="M289">
        <f>L290</f>
        <v>74</v>
      </c>
      <c r="N289" t="str">
        <f>M290</f>
        <v>B1</v>
      </c>
      <c r="O289">
        <v>49</v>
      </c>
      <c r="P289">
        <f>O290</f>
        <v>92</v>
      </c>
      <c r="Q289" t="str">
        <f>P290</f>
        <v>B1</v>
      </c>
      <c r="R289" t="s">
        <v>307</v>
      </c>
    </row>
    <row r="290" spans="1:18" x14ac:dyDescent="0.25">
      <c r="C290">
        <v>90</v>
      </c>
      <c r="D290" t="s">
        <v>306</v>
      </c>
      <c r="F290">
        <v>71</v>
      </c>
      <c r="G290" t="s">
        <v>308</v>
      </c>
      <c r="I290">
        <v>66</v>
      </c>
      <c r="J290" t="s">
        <v>309</v>
      </c>
      <c r="L290">
        <v>74</v>
      </c>
      <c r="M290" t="s">
        <v>308</v>
      </c>
      <c r="O290">
        <v>92</v>
      </c>
      <c r="P290" t="s">
        <v>308</v>
      </c>
    </row>
    <row r="291" spans="1:18" x14ac:dyDescent="0.25">
      <c r="A291">
        <v>23606028</v>
      </c>
      <c r="B291" t="s">
        <v>455</v>
      </c>
      <c r="C291">
        <v>301</v>
      </c>
      <c r="D291">
        <f>C292</f>
        <v>96</v>
      </c>
      <c r="E291" t="str">
        <f>D292</f>
        <v>A1</v>
      </c>
      <c r="F291">
        <v>27</v>
      </c>
      <c r="G291">
        <f>F292</f>
        <v>95</v>
      </c>
      <c r="H291" t="str">
        <f>G292</f>
        <v>A1</v>
      </c>
      <c r="I291">
        <v>29</v>
      </c>
      <c r="J291">
        <f>I292</f>
        <v>95</v>
      </c>
      <c r="K291" t="str">
        <f>J292</f>
        <v>A1</v>
      </c>
      <c r="L291">
        <v>28</v>
      </c>
      <c r="M291">
        <f>L292</f>
        <v>99</v>
      </c>
      <c r="N291" t="str">
        <f>M292</f>
        <v>A1</v>
      </c>
      <c r="O291">
        <v>49</v>
      </c>
      <c r="P291">
        <f>O292</f>
        <v>98</v>
      </c>
      <c r="Q291" t="str">
        <f>P292</f>
        <v>A1</v>
      </c>
      <c r="R291" t="s">
        <v>307</v>
      </c>
    </row>
    <row r="292" spans="1:18" x14ac:dyDescent="0.25">
      <c r="C292">
        <v>96</v>
      </c>
      <c r="D292" t="s">
        <v>305</v>
      </c>
      <c r="F292">
        <v>95</v>
      </c>
      <c r="G292" t="s">
        <v>305</v>
      </c>
      <c r="I292">
        <v>95</v>
      </c>
      <c r="J292" t="s">
        <v>305</v>
      </c>
      <c r="L292">
        <v>99</v>
      </c>
      <c r="M292" t="s">
        <v>305</v>
      </c>
      <c r="O292">
        <v>98</v>
      </c>
      <c r="P292" t="s">
        <v>305</v>
      </c>
    </row>
    <row r="293" spans="1:18" x14ac:dyDescent="0.25">
      <c r="A293">
        <v>23606029</v>
      </c>
      <c r="B293" t="s">
        <v>456</v>
      </c>
      <c r="C293">
        <v>301</v>
      </c>
      <c r="D293">
        <f>C294</f>
        <v>71</v>
      </c>
      <c r="E293" t="str">
        <f>D294</f>
        <v>C1</v>
      </c>
      <c r="F293">
        <v>27</v>
      </c>
      <c r="G293">
        <f>F294</f>
        <v>85</v>
      </c>
      <c r="H293" t="str">
        <f>G294</f>
        <v>A1</v>
      </c>
      <c r="I293">
        <v>29</v>
      </c>
      <c r="J293">
        <f>I294</f>
        <v>77</v>
      </c>
      <c r="K293" t="str">
        <f>J294</f>
        <v>B1</v>
      </c>
      <c r="L293">
        <v>28</v>
      </c>
      <c r="M293">
        <f>L294</f>
        <v>55</v>
      </c>
      <c r="N293" t="str">
        <f>M294</f>
        <v>C1</v>
      </c>
      <c r="O293">
        <v>49</v>
      </c>
      <c r="P293">
        <f>O294</f>
        <v>89</v>
      </c>
      <c r="Q293" t="str">
        <f>P294</f>
        <v>B2</v>
      </c>
      <c r="R293" t="s">
        <v>307</v>
      </c>
    </row>
    <row r="294" spans="1:18" x14ac:dyDescent="0.25">
      <c r="C294">
        <v>71</v>
      </c>
      <c r="D294" t="s">
        <v>313</v>
      </c>
      <c r="F294">
        <v>85</v>
      </c>
      <c r="G294" t="s">
        <v>305</v>
      </c>
      <c r="I294">
        <v>77</v>
      </c>
      <c r="J294" t="s">
        <v>308</v>
      </c>
      <c r="L294">
        <v>55</v>
      </c>
      <c r="M294" t="s">
        <v>313</v>
      </c>
      <c r="O294">
        <v>89</v>
      </c>
      <c r="P294" t="s">
        <v>309</v>
      </c>
    </row>
    <row r="295" spans="1:18" x14ac:dyDescent="0.25">
      <c r="A295">
        <v>23606030</v>
      </c>
      <c r="B295" t="s">
        <v>457</v>
      </c>
      <c r="C295">
        <v>301</v>
      </c>
      <c r="D295">
        <f>C296</f>
        <v>88</v>
      </c>
      <c r="E295" t="str">
        <f>D296</f>
        <v>A2</v>
      </c>
      <c r="F295">
        <v>27</v>
      </c>
      <c r="G295">
        <f>F296</f>
        <v>88</v>
      </c>
      <c r="H295" t="str">
        <f>G296</f>
        <v>A1</v>
      </c>
      <c r="I295">
        <v>29</v>
      </c>
      <c r="J295">
        <f>I296</f>
        <v>97</v>
      </c>
      <c r="K295" t="str">
        <f>J296</f>
        <v>A1</v>
      </c>
      <c r="L295">
        <v>28</v>
      </c>
      <c r="M295">
        <f>L296</f>
        <v>87</v>
      </c>
      <c r="N295" t="str">
        <f>M296</f>
        <v>A1</v>
      </c>
      <c r="O295">
        <v>37</v>
      </c>
      <c r="P295">
        <f>O296</f>
        <v>96</v>
      </c>
      <c r="Q295" t="str">
        <f>P296</f>
        <v>A1</v>
      </c>
      <c r="R295" t="s">
        <v>307</v>
      </c>
    </row>
    <row r="296" spans="1:18" x14ac:dyDescent="0.25">
      <c r="C296">
        <v>88</v>
      </c>
      <c r="D296" t="s">
        <v>306</v>
      </c>
      <c r="F296">
        <v>88</v>
      </c>
      <c r="G296" t="s">
        <v>305</v>
      </c>
      <c r="I296">
        <v>97</v>
      </c>
      <c r="J296" t="s">
        <v>305</v>
      </c>
      <c r="L296">
        <v>87</v>
      </c>
      <c r="M296" t="s">
        <v>305</v>
      </c>
      <c r="O296">
        <v>96</v>
      </c>
      <c r="P296" t="s">
        <v>305</v>
      </c>
    </row>
    <row r="297" spans="1:18" x14ac:dyDescent="0.25">
      <c r="A297">
        <v>23606031</v>
      </c>
      <c r="B297" t="s">
        <v>458</v>
      </c>
      <c r="C297">
        <v>301</v>
      </c>
      <c r="D297">
        <f>C298</f>
        <v>92</v>
      </c>
      <c r="E297" t="str">
        <f>D298</f>
        <v>A1</v>
      </c>
      <c r="F297">
        <v>27</v>
      </c>
      <c r="G297">
        <f>F298</f>
        <v>95</v>
      </c>
      <c r="H297" t="str">
        <f>G298</f>
        <v>A1</v>
      </c>
      <c r="I297">
        <v>29</v>
      </c>
      <c r="J297">
        <f>I298</f>
        <v>97</v>
      </c>
      <c r="K297" t="str">
        <f>J298</f>
        <v>A1</v>
      </c>
      <c r="L297">
        <v>30</v>
      </c>
      <c r="M297">
        <f>L298</f>
        <v>91</v>
      </c>
      <c r="N297" t="str">
        <f>M298</f>
        <v>A1</v>
      </c>
      <c r="O297">
        <v>37</v>
      </c>
      <c r="P297">
        <f>O298</f>
        <v>93</v>
      </c>
      <c r="Q297" t="str">
        <f>P298</f>
        <v>A2</v>
      </c>
      <c r="R297" t="s">
        <v>307</v>
      </c>
    </row>
    <row r="298" spans="1:18" x14ac:dyDescent="0.25">
      <c r="C298">
        <v>92</v>
      </c>
      <c r="D298" t="s">
        <v>305</v>
      </c>
      <c r="F298">
        <v>95</v>
      </c>
      <c r="G298" t="s">
        <v>305</v>
      </c>
      <c r="I298">
        <v>97</v>
      </c>
      <c r="J298" t="s">
        <v>305</v>
      </c>
      <c r="L298">
        <v>91</v>
      </c>
      <c r="M298" t="s">
        <v>305</v>
      </c>
      <c r="O298">
        <v>93</v>
      </c>
      <c r="P298" t="s">
        <v>306</v>
      </c>
    </row>
    <row r="299" spans="1:18" x14ac:dyDescent="0.25">
      <c r="D299">
        <f>C300</f>
        <v>301</v>
      </c>
      <c r="E299">
        <f>D300</f>
        <v>90</v>
      </c>
      <c r="G299">
        <f>F300</f>
        <v>27</v>
      </c>
      <c r="H299">
        <f>G300</f>
        <v>85</v>
      </c>
      <c r="J299">
        <f>I300</f>
        <v>29</v>
      </c>
      <c r="K299">
        <f>J300</f>
        <v>91</v>
      </c>
      <c r="M299">
        <f>L300</f>
        <v>28</v>
      </c>
      <c r="N299">
        <f>M300</f>
        <v>88</v>
      </c>
      <c r="P299">
        <f>O300</f>
        <v>49</v>
      </c>
      <c r="Q299">
        <f>P300</f>
        <v>93</v>
      </c>
    </row>
    <row r="300" spans="1:18" x14ac:dyDescent="0.25">
      <c r="A300">
        <v>23606032</v>
      </c>
      <c r="B300" t="s">
        <v>459</v>
      </c>
      <c r="C300">
        <v>301</v>
      </c>
      <c r="D300">
        <f>C301</f>
        <v>90</v>
      </c>
      <c r="E300" t="str">
        <f>D301</f>
        <v>A2</v>
      </c>
      <c r="F300">
        <v>27</v>
      </c>
      <c r="G300">
        <f>F301</f>
        <v>85</v>
      </c>
      <c r="H300" t="str">
        <f>G301</f>
        <v>A1</v>
      </c>
      <c r="I300">
        <v>29</v>
      </c>
      <c r="J300">
        <f>I301</f>
        <v>91</v>
      </c>
      <c r="K300" t="str">
        <f>J301</f>
        <v>A1</v>
      </c>
      <c r="L300">
        <v>28</v>
      </c>
      <c r="M300">
        <f>L301</f>
        <v>88</v>
      </c>
      <c r="N300" t="str">
        <f>M301</f>
        <v>A1</v>
      </c>
      <c r="O300">
        <v>49</v>
      </c>
      <c r="P300">
        <f>O301</f>
        <v>93</v>
      </c>
      <c r="Q300" t="str">
        <f>P301</f>
        <v>B1</v>
      </c>
      <c r="R300" t="s">
        <v>307</v>
      </c>
    </row>
    <row r="301" spans="1:18" x14ac:dyDescent="0.25">
      <c r="C301">
        <v>90</v>
      </c>
      <c r="D301" t="s">
        <v>306</v>
      </c>
      <c r="F301">
        <v>85</v>
      </c>
      <c r="G301" t="s">
        <v>305</v>
      </c>
      <c r="I301">
        <v>91</v>
      </c>
      <c r="J301" t="s">
        <v>305</v>
      </c>
      <c r="L301">
        <v>88</v>
      </c>
      <c r="M301" t="s">
        <v>305</v>
      </c>
      <c r="O301">
        <v>93</v>
      </c>
      <c r="P301" t="s">
        <v>308</v>
      </c>
    </row>
    <row r="302" spans="1:18" x14ac:dyDescent="0.25">
      <c r="A302">
        <v>23606033</v>
      </c>
      <c r="B302" t="s">
        <v>460</v>
      </c>
      <c r="C302">
        <v>301</v>
      </c>
      <c r="D302">
        <f>C303</f>
        <v>94</v>
      </c>
      <c r="E302" t="str">
        <f>D303</f>
        <v>A1</v>
      </c>
      <c r="F302">
        <v>27</v>
      </c>
      <c r="G302">
        <f>F303</f>
        <v>99</v>
      </c>
      <c r="H302" t="str">
        <f>G303</f>
        <v>A1</v>
      </c>
      <c r="I302">
        <v>29</v>
      </c>
      <c r="J302">
        <f>I303</f>
        <v>99</v>
      </c>
      <c r="K302" t="str">
        <f>J303</f>
        <v>A1</v>
      </c>
      <c r="L302">
        <v>30</v>
      </c>
      <c r="M302">
        <f>L303</f>
        <v>98</v>
      </c>
      <c r="N302" t="str">
        <f>M303</f>
        <v>A1</v>
      </c>
      <c r="O302">
        <v>37</v>
      </c>
      <c r="P302">
        <f>O303</f>
        <v>99</v>
      </c>
      <c r="Q302" t="str">
        <f>P303</f>
        <v>A1</v>
      </c>
      <c r="R302" t="s">
        <v>307</v>
      </c>
    </row>
    <row r="303" spans="1:18" x14ac:dyDescent="0.25">
      <c r="C303">
        <v>94</v>
      </c>
      <c r="D303" t="s">
        <v>305</v>
      </c>
      <c r="F303">
        <v>99</v>
      </c>
      <c r="G303" t="s">
        <v>305</v>
      </c>
      <c r="I303">
        <v>99</v>
      </c>
      <c r="J303" t="s">
        <v>305</v>
      </c>
      <c r="L303">
        <v>98</v>
      </c>
      <c r="M303" t="s">
        <v>305</v>
      </c>
      <c r="O303">
        <v>99</v>
      </c>
      <c r="P303" t="s">
        <v>305</v>
      </c>
    </row>
    <row r="304" spans="1:18" x14ac:dyDescent="0.25">
      <c r="A304">
        <v>23606034</v>
      </c>
      <c r="B304" t="s">
        <v>461</v>
      </c>
      <c r="C304">
        <v>301</v>
      </c>
      <c r="D304">
        <f>C305</f>
        <v>57</v>
      </c>
      <c r="E304" t="str">
        <f>D305</f>
        <v>D1</v>
      </c>
      <c r="F304">
        <v>27</v>
      </c>
      <c r="G304">
        <f>F305</f>
        <v>55</v>
      </c>
      <c r="H304" t="str">
        <f>G305</f>
        <v>C1</v>
      </c>
      <c r="I304">
        <v>29</v>
      </c>
      <c r="J304">
        <f>I305</f>
        <v>62</v>
      </c>
      <c r="K304" t="str">
        <f>J305</f>
        <v>C1</v>
      </c>
      <c r="L304">
        <v>28</v>
      </c>
      <c r="M304">
        <f>L305</f>
        <v>51</v>
      </c>
      <c r="N304" t="str">
        <f>M305</f>
        <v>C2</v>
      </c>
      <c r="O304">
        <v>49</v>
      </c>
      <c r="P304">
        <f>O305</f>
        <v>78</v>
      </c>
      <c r="Q304" t="str">
        <f>P305</f>
        <v>D1</v>
      </c>
      <c r="R304" t="s">
        <v>307</v>
      </c>
    </row>
    <row r="305" spans="3:16" x14ac:dyDescent="0.25">
      <c r="C305">
        <v>57</v>
      </c>
      <c r="D305" t="s">
        <v>314</v>
      </c>
      <c r="F305">
        <v>55</v>
      </c>
      <c r="G305" t="s">
        <v>313</v>
      </c>
      <c r="I305">
        <v>62</v>
      </c>
      <c r="J305" t="s">
        <v>313</v>
      </c>
      <c r="L305">
        <v>51</v>
      </c>
      <c r="M305" t="s">
        <v>312</v>
      </c>
      <c r="O305">
        <v>78</v>
      </c>
      <c r="P305" t="s">
        <v>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4"/>
  <sheetViews>
    <sheetView workbookViewId="0">
      <selection activeCell="A10" sqref="A10"/>
    </sheetView>
  </sheetViews>
  <sheetFormatPr defaultRowHeight="15" x14ac:dyDescent="0.25"/>
  <cols>
    <col min="1" max="1" width="108.7109375" bestFit="1" customWidth="1"/>
  </cols>
  <sheetData>
    <row r="1" spans="1:1" x14ac:dyDescent="0.25">
      <c r="A1" t="s">
        <v>8</v>
      </c>
    </row>
    <row r="2" spans="1:1" x14ac:dyDescent="0.25">
      <c r="A2" t="s">
        <v>9</v>
      </c>
    </row>
    <row r="3" spans="1:1" x14ac:dyDescent="0.25">
      <c r="A3" t="s">
        <v>10</v>
      </c>
    </row>
    <row r="4" spans="1:1" x14ac:dyDescent="0.25">
      <c r="A4" t="s">
        <v>11</v>
      </c>
    </row>
    <row r="6" spans="1:1" x14ac:dyDescent="0.25">
      <c r="A6" t="s">
        <v>12</v>
      </c>
    </row>
    <row r="7" spans="1:1" x14ac:dyDescent="0.25">
      <c r="A7" t="s">
        <v>13</v>
      </c>
    </row>
    <row r="8" spans="1:1" x14ac:dyDescent="0.25">
      <c r="A8" t="s">
        <v>14</v>
      </c>
    </row>
    <row r="9" spans="1:1" x14ac:dyDescent="0.25">
      <c r="A9" t="s">
        <v>15</v>
      </c>
    </row>
    <row r="10" spans="1:1" x14ac:dyDescent="0.25">
      <c r="A10" t="s">
        <v>16</v>
      </c>
    </row>
    <row r="11" spans="1:1" x14ac:dyDescent="0.25">
      <c r="A11" t="s">
        <v>17</v>
      </c>
    </row>
    <row r="12" spans="1:1" x14ac:dyDescent="0.25">
      <c r="A12" t="s">
        <v>18</v>
      </c>
    </row>
    <row r="13" spans="1:1" x14ac:dyDescent="0.25">
      <c r="A13" t="s">
        <v>19</v>
      </c>
    </row>
    <row r="14" spans="1:1" x14ac:dyDescent="0.25">
      <c r="A14" t="s">
        <v>20</v>
      </c>
    </row>
    <row r="15" spans="1:1" x14ac:dyDescent="0.25">
      <c r="A15" t="s">
        <v>21</v>
      </c>
    </row>
    <row r="16" spans="1:1" x14ac:dyDescent="0.25">
      <c r="A16" t="s">
        <v>22</v>
      </c>
    </row>
    <row r="17" spans="1:1" x14ac:dyDescent="0.25">
      <c r="A17" t="s">
        <v>23</v>
      </c>
    </row>
    <row r="18" spans="1:1" x14ac:dyDescent="0.25">
      <c r="A18" t="s">
        <v>24</v>
      </c>
    </row>
    <row r="19" spans="1:1" x14ac:dyDescent="0.25">
      <c r="A19" t="s">
        <v>25</v>
      </c>
    </row>
    <row r="20" spans="1:1" x14ac:dyDescent="0.25">
      <c r="A20" t="s">
        <v>26</v>
      </c>
    </row>
    <row r="21" spans="1:1" x14ac:dyDescent="0.25">
      <c r="A21" t="s">
        <v>27</v>
      </c>
    </row>
    <row r="22" spans="1:1" x14ac:dyDescent="0.25">
      <c r="A22" t="s">
        <v>28</v>
      </c>
    </row>
    <row r="23" spans="1:1" x14ac:dyDescent="0.25">
      <c r="A23" t="s">
        <v>29</v>
      </c>
    </row>
    <row r="24" spans="1:1" x14ac:dyDescent="0.25">
      <c r="A24" t="s">
        <v>30</v>
      </c>
    </row>
    <row r="25" spans="1:1" x14ac:dyDescent="0.25">
      <c r="A25" t="s">
        <v>31</v>
      </c>
    </row>
    <row r="27" spans="1:1" x14ac:dyDescent="0.25">
      <c r="A27" t="s">
        <v>32</v>
      </c>
    </row>
    <row r="28" spans="1:1" x14ac:dyDescent="0.25">
      <c r="A28" t="s">
        <v>33</v>
      </c>
    </row>
    <row r="29" spans="1:1" x14ac:dyDescent="0.25">
      <c r="A29" t="s">
        <v>34</v>
      </c>
    </row>
    <row r="30" spans="1:1" x14ac:dyDescent="0.25">
      <c r="A30" t="s">
        <v>35</v>
      </c>
    </row>
    <row r="31" spans="1:1" x14ac:dyDescent="0.25">
      <c r="A31" t="s">
        <v>36</v>
      </c>
    </row>
    <row r="32" spans="1:1" x14ac:dyDescent="0.25">
      <c r="A32" t="s">
        <v>37</v>
      </c>
    </row>
    <row r="33" spans="1:1" x14ac:dyDescent="0.25">
      <c r="A33" t="s">
        <v>38</v>
      </c>
    </row>
    <row r="34" spans="1:1" x14ac:dyDescent="0.25">
      <c r="A34" t="s">
        <v>39</v>
      </c>
    </row>
    <row r="35" spans="1:1" x14ac:dyDescent="0.25">
      <c r="A35" t="s">
        <v>40</v>
      </c>
    </row>
    <row r="36" spans="1:1" x14ac:dyDescent="0.25">
      <c r="A36" t="s">
        <v>41</v>
      </c>
    </row>
    <row r="37" spans="1:1" x14ac:dyDescent="0.25">
      <c r="A37" t="s">
        <v>42</v>
      </c>
    </row>
    <row r="38" spans="1:1" x14ac:dyDescent="0.25">
      <c r="A38" t="s">
        <v>43</v>
      </c>
    </row>
    <row r="39" spans="1:1" x14ac:dyDescent="0.25">
      <c r="A39" t="s">
        <v>44</v>
      </c>
    </row>
    <row r="40" spans="1:1" x14ac:dyDescent="0.25">
      <c r="A40" t="s">
        <v>45</v>
      </c>
    </row>
    <row r="41" spans="1:1" x14ac:dyDescent="0.25">
      <c r="A41" t="s">
        <v>46</v>
      </c>
    </row>
    <row r="42" spans="1:1" x14ac:dyDescent="0.25">
      <c r="A42" t="s">
        <v>47</v>
      </c>
    </row>
    <row r="43" spans="1:1" x14ac:dyDescent="0.25">
      <c r="A43" t="s">
        <v>48</v>
      </c>
    </row>
    <row r="44" spans="1:1" x14ac:dyDescent="0.25">
      <c r="A44" t="s">
        <v>49</v>
      </c>
    </row>
    <row r="45" spans="1:1" x14ac:dyDescent="0.25">
      <c r="A45" t="s">
        <v>50</v>
      </c>
    </row>
    <row r="46" spans="1:1" x14ac:dyDescent="0.25">
      <c r="A46" t="s">
        <v>51</v>
      </c>
    </row>
    <row r="48" spans="1:1" x14ac:dyDescent="0.25">
      <c r="A48" t="s">
        <v>52</v>
      </c>
    </row>
    <row r="49" spans="1:1" x14ac:dyDescent="0.25">
      <c r="A49" t="s">
        <v>53</v>
      </c>
    </row>
    <row r="50" spans="1:1" x14ac:dyDescent="0.25">
      <c r="A50" t="s">
        <v>55</v>
      </c>
    </row>
    <row r="51" spans="1:1" x14ac:dyDescent="0.25">
      <c r="A51" t="s">
        <v>56</v>
      </c>
    </row>
    <row r="52" spans="1:1" x14ac:dyDescent="0.25">
      <c r="A52" t="s">
        <v>57</v>
      </c>
    </row>
    <row r="53" spans="1:1" x14ac:dyDescent="0.25">
      <c r="A53" t="s">
        <v>58</v>
      </c>
    </row>
    <row r="54" spans="1:1" x14ac:dyDescent="0.25">
      <c r="A54" t="s">
        <v>59</v>
      </c>
    </row>
    <row r="55" spans="1:1" x14ac:dyDescent="0.25">
      <c r="A55" t="s">
        <v>60</v>
      </c>
    </row>
    <row r="56" spans="1:1" x14ac:dyDescent="0.25">
      <c r="A56" t="s">
        <v>61</v>
      </c>
    </row>
    <row r="57" spans="1:1" x14ac:dyDescent="0.25">
      <c r="A57" t="s">
        <v>62</v>
      </c>
    </row>
    <row r="58" spans="1:1" x14ac:dyDescent="0.25">
      <c r="A58" t="s">
        <v>63</v>
      </c>
    </row>
    <row r="59" spans="1:1" x14ac:dyDescent="0.25">
      <c r="A59" t="s">
        <v>64</v>
      </c>
    </row>
    <row r="60" spans="1:1" x14ac:dyDescent="0.25">
      <c r="A60" t="s">
        <v>65</v>
      </c>
    </row>
    <row r="61" spans="1:1" x14ac:dyDescent="0.25">
      <c r="A61" t="s">
        <v>66</v>
      </c>
    </row>
    <row r="62" spans="1:1" x14ac:dyDescent="0.25">
      <c r="A62" t="s">
        <v>67</v>
      </c>
    </row>
    <row r="63" spans="1:1" x14ac:dyDescent="0.25">
      <c r="A63" t="s">
        <v>68</v>
      </c>
    </row>
    <row r="64" spans="1:1" x14ac:dyDescent="0.25">
      <c r="A64" t="s">
        <v>69</v>
      </c>
    </row>
    <row r="65" spans="1:1" x14ac:dyDescent="0.25">
      <c r="A65" t="s">
        <v>70</v>
      </c>
    </row>
    <row r="66" spans="1:1" x14ac:dyDescent="0.25">
      <c r="A66" t="s">
        <v>71</v>
      </c>
    </row>
    <row r="67" spans="1:1" x14ac:dyDescent="0.25">
      <c r="A67" t="s">
        <v>72</v>
      </c>
    </row>
    <row r="69" spans="1:1" x14ac:dyDescent="0.25">
      <c r="A69" t="s">
        <v>73</v>
      </c>
    </row>
    <row r="70" spans="1:1" x14ac:dyDescent="0.25">
      <c r="A70" t="s">
        <v>74</v>
      </c>
    </row>
    <row r="71" spans="1:1" x14ac:dyDescent="0.25">
      <c r="A71" t="s">
        <v>75</v>
      </c>
    </row>
    <row r="72" spans="1:1" x14ac:dyDescent="0.25">
      <c r="A72" t="s">
        <v>76</v>
      </c>
    </row>
    <row r="73" spans="1:1" x14ac:dyDescent="0.25">
      <c r="A73" t="s">
        <v>77</v>
      </c>
    </row>
    <row r="74" spans="1:1" x14ac:dyDescent="0.25">
      <c r="A74" t="s">
        <v>78</v>
      </c>
    </row>
    <row r="75" spans="1:1" x14ac:dyDescent="0.25">
      <c r="A75" t="s">
        <v>79</v>
      </c>
    </row>
    <row r="76" spans="1:1" x14ac:dyDescent="0.25">
      <c r="A76" t="s">
        <v>80</v>
      </c>
    </row>
    <row r="77" spans="1:1" x14ac:dyDescent="0.25">
      <c r="A77" t="s">
        <v>81</v>
      </c>
    </row>
    <row r="78" spans="1:1" x14ac:dyDescent="0.25">
      <c r="A78" t="s">
        <v>82</v>
      </c>
    </row>
    <row r="79" spans="1:1" x14ac:dyDescent="0.25">
      <c r="A79" t="s">
        <v>83</v>
      </c>
    </row>
    <row r="80" spans="1:1" x14ac:dyDescent="0.25">
      <c r="A80" t="s">
        <v>84</v>
      </c>
    </row>
    <row r="81" spans="1:1" x14ac:dyDescent="0.25">
      <c r="A81" t="s">
        <v>85</v>
      </c>
    </row>
    <row r="82" spans="1:1" x14ac:dyDescent="0.25">
      <c r="A82" t="s">
        <v>86</v>
      </c>
    </row>
    <row r="83" spans="1:1" x14ac:dyDescent="0.25">
      <c r="A83" t="s">
        <v>87</v>
      </c>
    </row>
    <row r="84" spans="1:1" x14ac:dyDescent="0.25">
      <c r="A84" t="s">
        <v>88</v>
      </c>
    </row>
    <row r="85" spans="1:1" x14ac:dyDescent="0.25">
      <c r="A85" t="s">
        <v>89</v>
      </c>
    </row>
    <row r="86" spans="1:1" x14ac:dyDescent="0.25">
      <c r="A86" t="s">
        <v>90</v>
      </c>
    </row>
    <row r="87" spans="1:1" x14ac:dyDescent="0.25">
      <c r="A87" t="s">
        <v>91</v>
      </c>
    </row>
    <row r="88" spans="1:1" x14ac:dyDescent="0.25">
      <c r="A88" t="s">
        <v>92</v>
      </c>
    </row>
    <row r="90" spans="1:1" x14ac:dyDescent="0.25">
      <c r="A90" t="s">
        <v>93</v>
      </c>
    </row>
    <row r="91" spans="1:1" x14ac:dyDescent="0.25">
      <c r="A91" t="s">
        <v>94</v>
      </c>
    </row>
    <row r="92" spans="1:1" x14ac:dyDescent="0.25">
      <c r="A92" t="s">
        <v>95</v>
      </c>
    </row>
    <row r="93" spans="1:1" x14ac:dyDescent="0.25">
      <c r="A93" t="s">
        <v>96</v>
      </c>
    </row>
    <row r="94" spans="1:1" x14ac:dyDescent="0.25">
      <c r="A94" t="s">
        <v>97</v>
      </c>
    </row>
    <row r="95" spans="1:1" x14ac:dyDescent="0.25">
      <c r="A95" t="s">
        <v>98</v>
      </c>
    </row>
    <row r="96" spans="1:1" x14ac:dyDescent="0.25">
      <c r="A96" t="s">
        <v>99</v>
      </c>
    </row>
    <row r="97" spans="1:1" x14ac:dyDescent="0.25">
      <c r="A97" t="s">
        <v>100</v>
      </c>
    </row>
    <row r="98" spans="1:1" x14ac:dyDescent="0.25">
      <c r="A98" t="s">
        <v>102</v>
      </c>
    </row>
    <row r="99" spans="1:1" x14ac:dyDescent="0.25">
      <c r="A99" t="s">
        <v>103</v>
      </c>
    </row>
    <row r="100" spans="1:1" x14ac:dyDescent="0.25">
      <c r="A100" t="s">
        <v>104</v>
      </c>
    </row>
    <row r="101" spans="1:1" x14ac:dyDescent="0.25">
      <c r="A101" t="s">
        <v>105</v>
      </c>
    </row>
    <row r="102" spans="1:1" x14ac:dyDescent="0.25">
      <c r="A102" t="s">
        <v>106</v>
      </c>
    </row>
    <row r="103" spans="1:1" x14ac:dyDescent="0.25">
      <c r="A103" t="s">
        <v>107</v>
      </c>
    </row>
    <row r="104" spans="1:1" x14ac:dyDescent="0.25">
      <c r="A104" t="s">
        <v>108</v>
      </c>
    </row>
    <row r="105" spans="1:1" x14ac:dyDescent="0.25">
      <c r="A105" t="s">
        <v>109</v>
      </c>
    </row>
    <row r="106" spans="1:1" x14ac:dyDescent="0.25">
      <c r="A106" t="s">
        <v>110</v>
      </c>
    </row>
    <row r="107" spans="1:1" x14ac:dyDescent="0.25">
      <c r="A107" t="s">
        <v>111</v>
      </c>
    </row>
    <row r="108" spans="1:1" x14ac:dyDescent="0.25">
      <c r="A108" t="s">
        <v>112</v>
      </c>
    </row>
    <row r="109" spans="1:1" x14ac:dyDescent="0.25">
      <c r="A109" t="s">
        <v>113</v>
      </c>
    </row>
    <row r="111" spans="1:1" x14ac:dyDescent="0.25">
      <c r="A111" t="s">
        <v>114</v>
      </c>
    </row>
    <row r="112" spans="1:1" x14ac:dyDescent="0.25">
      <c r="A112" t="s">
        <v>115</v>
      </c>
    </row>
    <row r="113" spans="1:1" x14ac:dyDescent="0.25">
      <c r="A113" t="s">
        <v>116</v>
      </c>
    </row>
    <row r="114" spans="1:1" x14ac:dyDescent="0.25">
      <c r="A114" t="s">
        <v>117</v>
      </c>
    </row>
    <row r="115" spans="1:1" x14ac:dyDescent="0.25">
      <c r="A115" t="s">
        <v>118</v>
      </c>
    </row>
    <row r="116" spans="1:1" x14ac:dyDescent="0.25">
      <c r="A116" t="s">
        <v>119</v>
      </c>
    </row>
    <row r="117" spans="1:1" x14ac:dyDescent="0.25">
      <c r="A117" t="s">
        <v>120</v>
      </c>
    </row>
    <row r="118" spans="1:1" x14ac:dyDescent="0.25">
      <c r="A118" t="s">
        <v>121</v>
      </c>
    </row>
    <row r="119" spans="1:1" x14ac:dyDescent="0.25">
      <c r="A119" t="s">
        <v>122</v>
      </c>
    </row>
    <row r="120" spans="1:1" x14ac:dyDescent="0.25">
      <c r="A120" t="s">
        <v>123</v>
      </c>
    </row>
    <row r="121" spans="1:1" x14ac:dyDescent="0.25">
      <c r="A121" t="s">
        <v>124</v>
      </c>
    </row>
    <row r="122" spans="1:1" x14ac:dyDescent="0.25">
      <c r="A122" t="s">
        <v>125</v>
      </c>
    </row>
    <row r="123" spans="1:1" x14ac:dyDescent="0.25">
      <c r="A123" t="s">
        <v>126</v>
      </c>
    </row>
    <row r="124" spans="1:1" x14ac:dyDescent="0.25">
      <c r="A124" t="s">
        <v>127</v>
      </c>
    </row>
    <row r="125" spans="1:1" x14ac:dyDescent="0.25">
      <c r="A125" t="s">
        <v>128</v>
      </c>
    </row>
    <row r="126" spans="1:1" x14ac:dyDescent="0.25">
      <c r="A126" t="s">
        <v>129</v>
      </c>
    </row>
    <row r="127" spans="1:1" x14ac:dyDescent="0.25">
      <c r="A127" t="s">
        <v>130</v>
      </c>
    </row>
    <row r="128" spans="1:1" x14ac:dyDescent="0.25">
      <c r="A128" t="s">
        <v>131</v>
      </c>
    </row>
    <row r="129" spans="1:1" x14ac:dyDescent="0.25">
      <c r="A129" t="s">
        <v>132</v>
      </c>
    </row>
    <row r="130" spans="1:1" x14ac:dyDescent="0.25">
      <c r="A130" t="s">
        <v>133</v>
      </c>
    </row>
    <row r="132" spans="1:1" x14ac:dyDescent="0.25">
      <c r="A132" t="s">
        <v>134</v>
      </c>
    </row>
    <row r="133" spans="1:1" x14ac:dyDescent="0.25">
      <c r="A133" t="s">
        <v>135</v>
      </c>
    </row>
    <row r="134" spans="1:1" x14ac:dyDescent="0.25">
      <c r="A134" t="s">
        <v>136</v>
      </c>
    </row>
    <row r="135" spans="1:1" x14ac:dyDescent="0.25">
      <c r="A135" t="s">
        <v>137</v>
      </c>
    </row>
    <row r="136" spans="1:1" x14ac:dyDescent="0.25">
      <c r="A136" t="s">
        <v>138</v>
      </c>
    </row>
    <row r="137" spans="1:1" x14ac:dyDescent="0.25">
      <c r="A137" t="s">
        <v>139</v>
      </c>
    </row>
    <row r="138" spans="1:1" x14ac:dyDescent="0.25">
      <c r="A138" t="s">
        <v>140</v>
      </c>
    </row>
    <row r="139" spans="1:1" x14ac:dyDescent="0.25">
      <c r="A139" t="s">
        <v>141</v>
      </c>
    </row>
    <row r="140" spans="1:1" x14ac:dyDescent="0.25">
      <c r="A140" t="s">
        <v>142</v>
      </c>
    </row>
    <row r="141" spans="1:1" x14ac:dyDescent="0.25">
      <c r="A141" t="s">
        <v>143</v>
      </c>
    </row>
    <row r="142" spans="1:1" x14ac:dyDescent="0.25">
      <c r="A142" t="s">
        <v>144</v>
      </c>
    </row>
    <row r="143" spans="1:1" x14ac:dyDescent="0.25">
      <c r="A143" t="s">
        <v>145</v>
      </c>
    </row>
    <row r="144" spans="1:1" x14ac:dyDescent="0.25">
      <c r="A144" t="s">
        <v>146</v>
      </c>
    </row>
    <row r="145" spans="1:1" x14ac:dyDescent="0.25">
      <c r="A145" t="s">
        <v>147</v>
      </c>
    </row>
    <row r="146" spans="1:1" x14ac:dyDescent="0.25">
      <c r="A146" t="s">
        <v>149</v>
      </c>
    </row>
    <row r="147" spans="1:1" x14ac:dyDescent="0.25">
      <c r="A147" t="s">
        <v>150</v>
      </c>
    </row>
    <row r="148" spans="1:1" x14ac:dyDescent="0.25">
      <c r="A148" t="s">
        <v>151</v>
      </c>
    </row>
    <row r="149" spans="1:1" x14ac:dyDescent="0.25">
      <c r="A149" t="s">
        <v>152</v>
      </c>
    </row>
    <row r="150" spans="1:1" x14ac:dyDescent="0.25">
      <c r="A150" t="s">
        <v>153</v>
      </c>
    </row>
    <row r="151" spans="1:1" x14ac:dyDescent="0.25">
      <c r="A151" t="s">
        <v>154</v>
      </c>
    </row>
    <row r="153" spans="1:1" x14ac:dyDescent="0.25">
      <c r="A153" t="s">
        <v>155</v>
      </c>
    </row>
    <row r="154" spans="1:1" x14ac:dyDescent="0.25">
      <c r="A154" t="s">
        <v>156</v>
      </c>
    </row>
    <row r="155" spans="1:1" x14ac:dyDescent="0.25">
      <c r="A155" t="s">
        <v>157</v>
      </c>
    </row>
    <row r="156" spans="1:1" x14ac:dyDescent="0.25">
      <c r="A156" t="s">
        <v>158</v>
      </c>
    </row>
    <row r="157" spans="1:1" x14ac:dyDescent="0.25">
      <c r="A157" t="s">
        <v>159</v>
      </c>
    </row>
    <row r="158" spans="1:1" x14ac:dyDescent="0.25">
      <c r="A158" t="s">
        <v>160</v>
      </c>
    </row>
    <row r="159" spans="1:1" x14ac:dyDescent="0.25">
      <c r="A159" t="s">
        <v>161</v>
      </c>
    </row>
    <row r="160" spans="1:1" x14ac:dyDescent="0.25">
      <c r="A160" t="s">
        <v>162</v>
      </c>
    </row>
    <row r="161" spans="1:1" x14ac:dyDescent="0.25">
      <c r="A161" t="s">
        <v>163</v>
      </c>
    </row>
    <row r="162" spans="1:1" x14ac:dyDescent="0.25">
      <c r="A162" t="s">
        <v>164</v>
      </c>
    </row>
    <row r="163" spans="1:1" x14ac:dyDescent="0.25">
      <c r="A163" t="s">
        <v>165</v>
      </c>
    </row>
    <row r="164" spans="1:1" x14ac:dyDescent="0.25">
      <c r="A164" t="s">
        <v>166</v>
      </c>
    </row>
    <row r="165" spans="1:1" x14ac:dyDescent="0.25">
      <c r="A165" t="s">
        <v>167</v>
      </c>
    </row>
    <row r="166" spans="1:1" x14ac:dyDescent="0.25">
      <c r="A166" t="s">
        <v>168</v>
      </c>
    </row>
    <row r="167" spans="1:1" x14ac:dyDescent="0.25">
      <c r="A167" t="s">
        <v>169</v>
      </c>
    </row>
    <row r="168" spans="1:1" x14ac:dyDescent="0.25">
      <c r="A168" t="s">
        <v>170</v>
      </c>
    </row>
    <row r="169" spans="1:1" x14ac:dyDescent="0.25">
      <c r="A169" t="s">
        <v>171</v>
      </c>
    </row>
    <row r="170" spans="1:1" x14ac:dyDescent="0.25">
      <c r="A170" t="s">
        <v>172</v>
      </c>
    </row>
    <row r="171" spans="1:1" x14ac:dyDescent="0.25">
      <c r="A171" t="s">
        <v>173</v>
      </c>
    </row>
    <row r="172" spans="1:1" x14ac:dyDescent="0.25">
      <c r="A172" t="s">
        <v>174</v>
      </c>
    </row>
    <row r="174" spans="1:1" x14ac:dyDescent="0.25">
      <c r="A174" t="s">
        <v>175</v>
      </c>
    </row>
    <row r="175" spans="1:1" x14ac:dyDescent="0.25">
      <c r="A175" t="s">
        <v>176</v>
      </c>
    </row>
    <row r="176" spans="1:1" x14ac:dyDescent="0.25">
      <c r="A176" t="s">
        <v>177</v>
      </c>
    </row>
    <row r="177" spans="1:1" x14ac:dyDescent="0.25">
      <c r="A177" t="s">
        <v>178</v>
      </c>
    </row>
    <row r="178" spans="1:1" x14ac:dyDescent="0.25">
      <c r="A178" t="s">
        <v>179</v>
      </c>
    </row>
    <row r="179" spans="1:1" x14ac:dyDescent="0.25">
      <c r="A179" t="s">
        <v>180</v>
      </c>
    </row>
    <row r="180" spans="1:1" x14ac:dyDescent="0.25">
      <c r="A180" t="s">
        <v>181</v>
      </c>
    </row>
    <row r="181" spans="1:1" x14ac:dyDescent="0.25">
      <c r="A181" t="s">
        <v>182</v>
      </c>
    </row>
    <row r="182" spans="1:1" x14ac:dyDescent="0.25">
      <c r="A182" t="s">
        <v>183</v>
      </c>
    </row>
    <row r="183" spans="1:1" x14ac:dyDescent="0.25">
      <c r="A183" t="s">
        <v>184</v>
      </c>
    </row>
    <row r="184" spans="1:1" x14ac:dyDescent="0.25">
      <c r="A184" t="s">
        <v>185</v>
      </c>
    </row>
    <row r="185" spans="1:1" x14ac:dyDescent="0.25">
      <c r="A185" t="s">
        <v>186</v>
      </c>
    </row>
    <row r="186" spans="1:1" x14ac:dyDescent="0.25">
      <c r="A186" t="s">
        <v>187</v>
      </c>
    </row>
    <row r="187" spans="1:1" x14ac:dyDescent="0.25">
      <c r="A187" t="s">
        <v>188</v>
      </c>
    </row>
    <row r="188" spans="1:1" x14ac:dyDescent="0.25">
      <c r="A188" t="s">
        <v>189</v>
      </c>
    </row>
    <row r="189" spans="1:1" x14ac:dyDescent="0.25">
      <c r="A189" t="s">
        <v>190</v>
      </c>
    </row>
    <row r="190" spans="1:1" x14ac:dyDescent="0.25">
      <c r="A190" t="s">
        <v>191</v>
      </c>
    </row>
    <row r="191" spans="1:1" x14ac:dyDescent="0.25">
      <c r="A191" t="s">
        <v>192</v>
      </c>
    </row>
    <row r="192" spans="1:1" x14ac:dyDescent="0.25">
      <c r="A192" t="s">
        <v>193</v>
      </c>
    </row>
    <row r="193" spans="1:1" x14ac:dyDescent="0.25">
      <c r="A193" t="s">
        <v>194</v>
      </c>
    </row>
    <row r="194" spans="1:1" x14ac:dyDescent="0.25">
      <c r="A194" t="s">
        <v>196</v>
      </c>
    </row>
    <row r="195" spans="1:1" x14ac:dyDescent="0.25">
      <c r="A195" t="s">
        <v>197</v>
      </c>
    </row>
    <row r="196" spans="1:1" x14ac:dyDescent="0.25">
      <c r="A196" t="s">
        <v>198</v>
      </c>
    </row>
    <row r="197" spans="1:1" x14ac:dyDescent="0.25">
      <c r="A197" t="s">
        <v>199</v>
      </c>
    </row>
    <row r="198" spans="1:1" x14ac:dyDescent="0.25">
      <c r="A198" t="s">
        <v>200</v>
      </c>
    </row>
    <row r="199" spans="1:1" x14ac:dyDescent="0.25">
      <c r="A199" t="s">
        <v>201</v>
      </c>
    </row>
    <row r="200" spans="1:1" x14ac:dyDescent="0.25">
      <c r="A200" t="s">
        <v>202</v>
      </c>
    </row>
    <row r="201" spans="1:1" x14ac:dyDescent="0.25">
      <c r="A201" t="s">
        <v>203</v>
      </c>
    </row>
    <row r="202" spans="1:1" x14ac:dyDescent="0.25">
      <c r="A202" t="s">
        <v>204</v>
      </c>
    </row>
    <row r="203" spans="1:1" x14ac:dyDescent="0.25">
      <c r="A203" t="s">
        <v>205</v>
      </c>
    </row>
    <row r="204" spans="1:1" x14ac:dyDescent="0.25">
      <c r="A204" t="s">
        <v>206</v>
      </c>
    </row>
    <row r="205" spans="1:1" x14ac:dyDescent="0.25">
      <c r="A205" t="s">
        <v>207</v>
      </c>
    </row>
    <row r="206" spans="1:1" x14ac:dyDescent="0.25">
      <c r="A206" t="s">
        <v>208</v>
      </c>
    </row>
    <row r="207" spans="1:1" x14ac:dyDescent="0.25">
      <c r="A207" t="s">
        <v>209</v>
      </c>
    </row>
    <row r="208" spans="1:1" x14ac:dyDescent="0.25">
      <c r="A208" t="s">
        <v>210</v>
      </c>
    </row>
    <row r="209" spans="1:1" x14ac:dyDescent="0.25">
      <c r="A209" t="s">
        <v>211</v>
      </c>
    </row>
    <row r="210" spans="1:1" x14ac:dyDescent="0.25">
      <c r="A210" t="s">
        <v>212</v>
      </c>
    </row>
    <row r="211" spans="1:1" x14ac:dyDescent="0.25">
      <c r="A211" t="s">
        <v>213</v>
      </c>
    </row>
    <row r="212" spans="1:1" x14ac:dyDescent="0.25">
      <c r="A212" t="s">
        <v>214</v>
      </c>
    </row>
    <row r="213" spans="1:1" x14ac:dyDescent="0.25">
      <c r="A213" t="s">
        <v>215</v>
      </c>
    </row>
    <row r="215" spans="1:1" x14ac:dyDescent="0.25">
      <c r="A215" t="s">
        <v>216</v>
      </c>
    </row>
    <row r="216" spans="1:1" x14ac:dyDescent="0.25">
      <c r="A216" t="s">
        <v>217</v>
      </c>
    </row>
    <row r="217" spans="1:1" x14ac:dyDescent="0.25">
      <c r="A217" t="s">
        <v>218</v>
      </c>
    </row>
    <row r="218" spans="1:1" x14ac:dyDescent="0.25">
      <c r="A218" t="s">
        <v>219</v>
      </c>
    </row>
    <row r="219" spans="1:1" x14ac:dyDescent="0.25">
      <c r="A219" t="s">
        <v>220</v>
      </c>
    </row>
    <row r="220" spans="1:1" x14ac:dyDescent="0.25">
      <c r="A220" t="s">
        <v>221</v>
      </c>
    </row>
    <row r="221" spans="1:1" x14ac:dyDescent="0.25">
      <c r="A221" t="s">
        <v>222</v>
      </c>
    </row>
    <row r="222" spans="1:1" x14ac:dyDescent="0.25">
      <c r="A222" t="s">
        <v>223</v>
      </c>
    </row>
    <row r="223" spans="1:1" x14ac:dyDescent="0.25">
      <c r="A223" t="s">
        <v>224</v>
      </c>
    </row>
    <row r="224" spans="1:1" x14ac:dyDescent="0.25">
      <c r="A224" t="s">
        <v>225</v>
      </c>
    </row>
    <row r="225" spans="1:1" x14ac:dyDescent="0.25">
      <c r="A225" t="s">
        <v>226</v>
      </c>
    </row>
    <row r="226" spans="1:1" x14ac:dyDescent="0.25">
      <c r="A226" t="s">
        <v>227</v>
      </c>
    </row>
    <row r="227" spans="1:1" x14ac:dyDescent="0.25">
      <c r="A227" t="s">
        <v>228</v>
      </c>
    </row>
    <row r="228" spans="1:1" x14ac:dyDescent="0.25">
      <c r="A228" t="s">
        <v>229</v>
      </c>
    </row>
    <row r="229" spans="1:1" x14ac:dyDescent="0.25">
      <c r="A229" t="s">
        <v>230</v>
      </c>
    </row>
    <row r="230" spans="1:1" x14ac:dyDescent="0.25">
      <c r="A230" t="s">
        <v>231</v>
      </c>
    </row>
    <row r="231" spans="1:1" x14ac:dyDescent="0.25">
      <c r="A231" t="s">
        <v>232</v>
      </c>
    </row>
    <row r="232" spans="1:1" x14ac:dyDescent="0.25">
      <c r="A232" t="s">
        <v>233</v>
      </c>
    </row>
    <row r="233" spans="1:1" x14ac:dyDescent="0.25">
      <c r="A233" t="s">
        <v>234</v>
      </c>
    </row>
    <row r="234" spans="1:1" x14ac:dyDescent="0.25">
      <c r="A234" t="s">
        <v>235</v>
      </c>
    </row>
    <row r="236" spans="1:1" x14ac:dyDescent="0.25">
      <c r="A236" t="s">
        <v>236</v>
      </c>
    </row>
    <row r="237" spans="1:1" x14ac:dyDescent="0.25">
      <c r="A237" t="s">
        <v>237</v>
      </c>
    </row>
    <row r="238" spans="1:1" x14ac:dyDescent="0.25">
      <c r="A238" t="s">
        <v>238</v>
      </c>
    </row>
    <row r="239" spans="1:1" x14ac:dyDescent="0.25">
      <c r="A239" t="s">
        <v>239</v>
      </c>
    </row>
    <row r="240" spans="1:1" x14ac:dyDescent="0.25">
      <c r="A240" t="s">
        <v>240</v>
      </c>
    </row>
    <row r="241" spans="1:1" x14ac:dyDescent="0.25">
      <c r="A241" t="s">
        <v>241</v>
      </c>
    </row>
    <row r="242" spans="1:1" x14ac:dyDescent="0.25">
      <c r="A242" t="s">
        <v>243</v>
      </c>
    </row>
    <row r="243" spans="1:1" x14ac:dyDescent="0.25">
      <c r="A243" t="s">
        <v>244</v>
      </c>
    </row>
    <row r="244" spans="1:1" x14ac:dyDescent="0.25">
      <c r="A244" t="s">
        <v>245</v>
      </c>
    </row>
    <row r="245" spans="1:1" x14ac:dyDescent="0.25">
      <c r="A245" t="s">
        <v>246</v>
      </c>
    </row>
    <row r="246" spans="1:1" x14ac:dyDescent="0.25">
      <c r="A246" t="s">
        <v>247</v>
      </c>
    </row>
    <row r="247" spans="1:1" x14ac:dyDescent="0.25">
      <c r="A247" t="s">
        <v>248</v>
      </c>
    </row>
    <row r="248" spans="1:1" x14ac:dyDescent="0.25">
      <c r="A248" t="s">
        <v>249</v>
      </c>
    </row>
    <row r="249" spans="1:1" x14ac:dyDescent="0.25">
      <c r="A249" t="s">
        <v>250</v>
      </c>
    </row>
    <row r="250" spans="1:1" x14ac:dyDescent="0.25">
      <c r="A250" t="s">
        <v>251</v>
      </c>
    </row>
    <row r="251" spans="1:1" x14ac:dyDescent="0.25">
      <c r="A251" t="s">
        <v>252</v>
      </c>
    </row>
    <row r="252" spans="1:1" x14ac:dyDescent="0.25">
      <c r="A252" t="s">
        <v>253</v>
      </c>
    </row>
    <row r="253" spans="1:1" x14ac:dyDescent="0.25">
      <c r="A253" t="s">
        <v>254</v>
      </c>
    </row>
    <row r="254" spans="1:1" x14ac:dyDescent="0.25">
      <c r="A254" t="s">
        <v>255</v>
      </c>
    </row>
    <row r="255" spans="1:1" x14ac:dyDescent="0.25">
      <c r="A255" t="s">
        <v>256</v>
      </c>
    </row>
    <row r="257" spans="1:1" x14ac:dyDescent="0.25">
      <c r="A257" t="s">
        <v>257</v>
      </c>
    </row>
    <row r="258" spans="1:1" x14ac:dyDescent="0.25">
      <c r="A258" t="s">
        <v>258</v>
      </c>
    </row>
    <row r="259" spans="1:1" x14ac:dyDescent="0.25">
      <c r="A259" t="s">
        <v>259</v>
      </c>
    </row>
    <row r="260" spans="1:1" x14ac:dyDescent="0.25">
      <c r="A260" t="s">
        <v>260</v>
      </c>
    </row>
    <row r="261" spans="1:1" x14ac:dyDescent="0.25">
      <c r="A261" t="s">
        <v>261</v>
      </c>
    </row>
    <row r="262" spans="1:1" x14ac:dyDescent="0.25">
      <c r="A262" t="s">
        <v>262</v>
      </c>
    </row>
    <row r="263" spans="1:1" x14ac:dyDescent="0.25">
      <c r="A263" t="s">
        <v>263</v>
      </c>
    </row>
    <row r="264" spans="1:1" x14ac:dyDescent="0.25">
      <c r="A264" t="s">
        <v>264</v>
      </c>
    </row>
    <row r="265" spans="1:1" x14ac:dyDescent="0.25">
      <c r="A265" t="s">
        <v>265</v>
      </c>
    </row>
    <row r="266" spans="1:1" x14ac:dyDescent="0.25">
      <c r="A266" t="s">
        <v>266</v>
      </c>
    </row>
    <row r="267" spans="1:1" x14ac:dyDescent="0.25">
      <c r="A267" t="s">
        <v>267</v>
      </c>
    </row>
    <row r="268" spans="1:1" x14ac:dyDescent="0.25">
      <c r="A268" t="s">
        <v>268</v>
      </c>
    </row>
    <row r="269" spans="1:1" x14ac:dyDescent="0.25">
      <c r="A269" t="s">
        <v>269</v>
      </c>
    </row>
    <row r="270" spans="1:1" x14ac:dyDescent="0.25">
      <c r="A270" t="s">
        <v>270</v>
      </c>
    </row>
    <row r="271" spans="1:1" x14ac:dyDescent="0.25">
      <c r="A271" t="s">
        <v>271</v>
      </c>
    </row>
    <row r="272" spans="1:1" x14ac:dyDescent="0.25">
      <c r="A272" t="s">
        <v>272</v>
      </c>
    </row>
    <row r="273" spans="1:1" x14ac:dyDescent="0.25">
      <c r="A273" t="s">
        <v>273</v>
      </c>
    </row>
    <row r="274" spans="1:1" x14ac:dyDescent="0.25">
      <c r="A274" t="s">
        <v>274</v>
      </c>
    </row>
    <row r="275" spans="1:1" x14ac:dyDescent="0.25">
      <c r="A275" t="s">
        <v>275</v>
      </c>
    </row>
    <row r="276" spans="1:1" x14ac:dyDescent="0.25">
      <c r="A276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290</v>
      </c>
    </row>
    <row r="291" spans="1:1" x14ac:dyDescent="0.25">
      <c r="A291" t="s">
        <v>291</v>
      </c>
    </row>
    <row r="292" spans="1:1" x14ac:dyDescent="0.25">
      <c r="A292" t="s">
        <v>292</v>
      </c>
    </row>
    <row r="293" spans="1:1" x14ac:dyDescent="0.25">
      <c r="A293" t="s">
        <v>293</v>
      </c>
    </row>
    <row r="294" spans="1:1" x14ac:dyDescent="0.25">
      <c r="A294" t="s">
        <v>294</v>
      </c>
    </row>
    <row r="295" spans="1:1" x14ac:dyDescent="0.25">
      <c r="A295" t="s">
        <v>295</v>
      </c>
    </row>
    <row r="296" spans="1:1" x14ac:dyDescent="0.25">
      <c r="A296" t="s">
        <v>296</v>
      </c>
    </row>
    <row r="297" spans="1:1" x14ac:dyDescent="0.25">
      <c r="A297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393"/>
  <sheetViews>
    <sheetView workbookViewId="0">
      <selection sqref="A1:A393"/>
    </sheetView>
  </sheetViews>
  <sheetFormatPr defaultRowHeight="15" x14ac:dyDescent="0.25"/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3</v>
      </c>
    </row>
    <row r="12" spans="1:1" x14ac:dyDescent="0.25">
      <c r="A12" t="s">
        <v>7</v>
      </c>
    </row>
    <row r="14" spans="1:1" x14ac:dyDescent="0.25">
      <c r="A14" t="s">
        <v>8</v>
      </c>
    </row>
    <row r="15" spans="1:1" x14ac:dyDescent="0.25">
      <c r="A15" t="s">
        <v>9</v>
      </c>
    </row>
    <row r="16" spans="1:1" x14ac:dyDescent="0.25">
      <c r="A16" t="s">
        <v>10</v>
      </c>
    </row>
    <row r="17" spans="1:1" x14ac:dyDescent="0.25">
      <c r="A17" t="s">
        <v>11</v>
      </c>
    </row>
    <row r="19" spans="1:1" x14ac:dyDescent="0.25">
      <c r="A19" t="s">
        <v>12</v>
      </c>
    </row>
    <row r="20" spans="1:1" x14ac:dyDescent="0.25">
      <c r="A20" t="s">
        <v>13</v>
      </c>
    </row>
    <row r="21" spans="1:1" x14ac:dyDescent="0.25">
      <c r="A21" t="s">
        <v>14</v>
      </c>
    </row>
    <row r="22" spans="1:1" x14ac:dyDescent="0.25">
      <c r="A22" t="s">
        <v>15</v>
      </c>
    </row>
    <row r="23" spans="1:1" x14ac:dyDescent="0.25">
      <c r="A23" t="s">
        <v>16</v>
      </c>
    </row>
    <row r="24" spans="1:1" x14ac:dyDescent="0.25">
      <c r="A24" t="s">
        <v>17</v>
      </c>
    </row>
    <row r="25" spans="1:1" x14ac:dyDescent="0.25">
      <c r="A25" t="s">
        <v>18</v>
      </c>
    </row>
    <row r="26" spans="1:1" x14ac:dyDescent="0.25">
      <c r="A26" t="s">
        <v>19</v>
      </c>
    </row>
    <row r="27" spans="1:1" x14ac:dyDescent="0.25">
      <c r="A27" t="s">
        <v>20</v>
      </c>
    </row>
    <row r="28" spans="1:1" x14ac:dyDescent="0.25">
      <c r="A28" t="s">
        <v>21</v>
      </c>
    </row>
    <row r="29" spans="1:1" x14ac:dyDescent="0.25">
      <c r="A29" t="s">
        <v>22</v>
      </c>
    </row>
    <row r="30" spans="1:1" x14ac:dyDescent="0.25">
      <c r="A30" t="s">
        <v>23</v>
      </c>
    </row>
    <row r="31" spans="1:1" x14ac:dyDescent="0.25">
      <c r="A31" t="s">
        <v>24</v>
      </c>
    </row>
    <row r="32" spans="1:1" x14ac:dyDescent="0.25">
      <c r="A32" t="s">
        <v>25</v>
      </c>
    </row>
    <row r="33" spans="1:1" x14ac:dyDescent="0.25">
      <c r="A33" t="s">
        <v>26</v>
      </c>
    </row>
    <row r="34" spans="1:1" x14ac:dyDescent="0.25">
      <c r="A34" t="s">
        <v>27</v>
      </c>
    </row>
    <row r="35" spans="1:1" x14ac:dyDescent="0.25">
      <c r="A35" t="s">
        <v>28</v>
      </c>
    </row>
    <row r="36" spans="1:1" x14ac:dyDescent="0.25">
      <c r="A36" t="s">
        <v>29</v>
      </c>
    </row>
    <row r="37" spans="1:1" x14ac:dyDescent="0.25">
      <c r="A37" t="s">
        <v>30</v>
      </c>
    </row>
    <row r="38" spans="1:1" x14ac:dyDescent="0.25">
      <c r="A38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6" spans="1:1" x14ac:dyDescent="0.25">
      <c r="A46" t="s">
        <v>38</v>
      </c>
    </row>
    <row r="47" spans="1:1" x14ac:dyDescent="0.25">
      <c r="A47" t="s">
        <v>39</v>
      </c>
    </row>
    <row r="48" spans="1:1" x14ac:dyDescent="0.25">
      <c r="A48" t="s">
        <v>40</v>
      </c>
    </row>
    <row r="49" spans="1:1" x14ac:dyDescent="0.25">
      <c r="A49" t="s">
        <v>41</v>
      </c>
    </row>
    <row r="50" spans="1:1" x14ac:dyDescent="0.25">
      <c r="A50" t="s">
        <v>42</v>
      </c>
    </row>
    <row r="51" spans="1:1" x14ac:dyDescent="0.25">
      <c r="A51" t="s">
        <v>43</v>
      </c>
    </row>
    <row r="52" spans="1:1" x14ac:dyDescent="0.25">
      <c r="A52" t="s">
        <v>44</v>
      </c>
    </row>
    <row r="53" spans="1:1" x14ac:dyDescent="0.25">
      <c r="A53" t="s">
        <v>45</v>
      </c>
    </row>
    <row r="54" spans="1:1" x14ac:dyDescent="0.25">
      <c r="A54" t="s">
        <v>46</v>
      </c>
    </row>
    <row r="55" spans="1:1" x14ac:dyDescent="0.25">
      <c r="A55" t="s">
        <v>47</v>
      </c>
    </row>
    <row r="56" spans="1:1" x14ac:dyDescent="0.25">
      <c r="A56" t="s">
        <v>48</v>
      </c>
    </row>
    <row r="57" spans="1:1" x14ac:dyDescent="0.25">
      <c r="A57" t="s">
        <v>49</v>
      </c>
    </row>
    <row r="58" spans="1:1" x14ac:dyDescent="0.25">
      <c r="A58" t="s">
        <v>50</v>
      </c>
    </row>
    <row r="59" spans="1:1" x14ac:dyDescent="0.25">
      <c r="A59" t="s">
        <v>51</v>
      </c>
    </row>
    <row r="61" spans="1:1" x14ac:dyDescent="0.25">
      <c r="A61" t="s">
        <v>52</v>
      </c>
    </row>
    <row r="62" spans="1:1" x14ac:dyDescent="0.25">
      <c r="A62" t="s">
        <v>53</v>
      </c>
    </row>
    <row r="63" spans="1:1" x14ac:dyDescent="0.25">
      <c r="A63" t="s">
        <v>0</v>
      </c>
    </row>
    <row r="64" spans="1:1" x14ac:dyDescent="0.25">
      <c r="A64" t="s">
        <v>54</v>
      </c>
    </row>
    <row r="65" spans="1:1" x14ac:dyDescent="0.25">
      <c r="A65" t="s">
        <v>2</v>
      </c>
    </row>
    <row r="67" spans="1:1" x14ac:dyDescent="0.25">
      <c r="A67" t="s">
        <v>3</v>
      </c>
    </row>
    <row r="68" spans="1:1" x14ac:dyDescent="0.25">
      <c r="A68" t="s">
        <v>4</v>
      </c>
    </row>
    <row r="69" spans="1:1" x14ac:dyDescent="0.25">
      <c r="A69" t="s">
        <v>5</v>
      </c>
    </row>
    <row r="70" spans="1:1" x14ac:dyDescent="0.25">
      <c r="A70" t="s">
        <v>6</v>
      </c>
    </row>
    <row r="71" spans="1:1" x14ac:dyDescent="0.25">
      <c r="A71" t="s">
        <v>3</v>
      </c>
    </row>
    <row r="73" spans="1:1" x14ac:dyDescent="0.25">
      <c r="A73" t="s">
        <v>7</v>
      </c>
    </row>
    <row r="75" spans="1:1" x14ac:dyDescent="0.25">
      <c r="A75" t="s">
        <v>55</v>
      </c>
    </row>
    <row r="76" spans="1:1" x14ac:dyDescent="0.25">
      <c r="A76" t="s">
        <v>56</v>
      </c>
    </row>
    <row r="77" spans="1:1" x14ac:dyDescent="0.25">
      <c r="A77" t="s">
        <v>57</v>
      </c>
    </row>
    <row r="78" spans="1:1" x14ac:dyDescent="0.25">
      <c r="A78" t="s">
        <v>58</v>
      </c>
    </row>
    <row r="79" spans="1:1" x14ac:dyDescent="0.25">
      <c r="A79" t="s">
        <v>59</v>
      </c>
    </row>
    <row r="80" spans="1:1" x14ac:dyDescent="0.25">
      <c r="A80" t="s">
        <v>60</v>
      </c>
    </row>
    <row r="81" spans="1:1" x14ac:dyDescent="0.25">
      <c r="A81" t="s">
        <v>61</v>
      </c>
    </row>
    <row r="82" spans="1:1" x14ac:dyDescent="0.25">
      <c r="A82" t="s">
        <v>62</v>
      </c>
    </row>
    <row r="83" spans="1:1" x14ac:dyDescent="0.25">
      <c r="A83" t="s">
        <v>63</v>
      </c>
    </row>
    <row r="84" spans="1:1" x14ac:dyDescent="0.25">
      <c r="A84" t="s">
        <v>64</v>
      </c>
    </row>
    <row r="85" spans="1:1" x14ac:dyDescent="0.25">
      <c r="A85" t="s">
        <v>65</v>
      </c>
    </row>
    <row r="86" spans="1:1" x14ac:dyDescent="0.25">
      <c r="A86" t="s">
        <v>66</v>
      </c>
    </row>
    <row r="87" spans="1:1" x14ac:dyDescent="0.25">
      <c r="A87" t="s">
        <v>67</v>
      </c>
    </row>
    <row r="88" spans="1:1" x14ac:dyDescent="0.25">
      <c r="A88" t="s">
        <v>68</v>
      </c>
    </row>
    <row r="89" spans="1:1" x14ac:dyDescent="0.25">
      <c r="A89" t="s">
        <v>69</v>
      </c>
    </row>
    <row r="90" spans="1:1" x14ac:dyDescent="0.25">
      <c r="A90" t="s">
        <v>70</v>
      </c>
    </row>
    <row r="91" spans="1:1" x14ac:dyDescent="0.25">
      <c r="A91" t="s">
        <v>71</v>
      </c>
    </row>
    <row r="92" spans="1:1" x14ac:dyDescent="0.25">
      <c r="A92" t="s">
        <v>72</v>
      </c>
    </row>
    <row r="94" spans="1:1" x14ac:dyDescent="0.25">
      <c r="A94" t="s">
        <v>73</v>
      </c>
    </row>
    <row r="95" spans="1:1" x14ac:dyDescent="0.25">
      <c r="A95" t="s">
        <v>74</v>
      </c>
    </row>
    <row r="96" spans="1:1" x14ac:dyDescent="0.25">
      <c r="A96" t="s">
        <v>75</v>
      </c>
    </row>
    <row r="97" spans="1:1" x14ac:dyDescent="0.25">
      <c r="A97" t="s">
        <v>76</v>
      </c>
    </row>
    <row r="98" spans="1:1" x14ac:dyDescent="0.25">
      <c r="A98" t="s">
        <v>77</v>
      </c>
    </row>
    <row r="99" spans="1:1" x14ac:dyDescent="0.25">
      <c r="A99" t="s">
        <v>78</v>
      </c>
    </row>
    <row r="100" spans="1:1" x14ac:dyDescent="0.25">
      <c r="A100" t="s">
        <v>79</v>
      </c>
    </row>
    <row r="101" spans="1:1" x14ac:dyDescent="0.25">
      <c r="A101" t="s">
        <v>80</v>
      </c>
    </row>
    <row r="102" spans="1:1" x14ac:dyDescent="0.25">
      <c r="A102" t="s">
        <v>81</v>
      </c>
    </row>
    <row r="103" spans="1:1" x14ac:dyDescent="0.25">
      <c r="A103" t="s">
        <v>82</v>
      </c>
    </row>
    <row r="104" spans="1:1" x14ac:dyDescent="0.25">
      <c r="A104" t="s">
        <v>83</v>
      </c>
    </row>
    <row r="105" spans="1:1" x14ac:dyDescent="0.25">
      <c r="A105" t="s">
        <v>84</v>
      </c>
    </row>
    <row r="106" spans="1:1" x14ac:dyDescent="0.25">
      <c r="A106" t="s">
        <v>85</v>
      </c>
    </row>
    <row r="107" spans="1:1" x14ac:dyDescent="0.25">
      <c r="A107" t="s">
        <v>86</v>
      </c>
    </row>
    <row r="108" spans="1:1" x14ac:dyDescent="0.25">
      <c r="A108" t="s">
        <v>87</v>
      </c>
    </row>
    <row r="109" spans="1:1" x14ac:dyDescent="0.25">
      <c r="A109" t="s">
        <v>88</v>
      </c>
    </row>
    <row r="110" spans="1:1" x14ac:dyDescent="0.25">
      <c r="A110" t="s">
        <v>89</v>
      </c>
    </row>
    <row r="111" spans="1:1" x14ac:dyDescent="0.25">
      <c r="A111" t="s">
        <v>90</v>
      </c>
    </row>
    <row r="112" spans="1:1" x14ac:dyDescent="0.25">
      <c r="A112" t="s">
        <v>91</v>
      </c>
    </row>
    <row r="113" spans="1:1" x14ac:dyDescent="0.25">
      <c r="A113" t="s">
        <v>92</v>
      </c>
    </row>
    <row r="115" spans="1:1" x14ac:dyDescent="0.25">
      <c r="A115" t="s">
        <v>93</v>
      </c>
    </row>
    <row r="116" spans="1:1" x14ac:dyDescent="0.25">
      <c r="A116" t="s">
        <v>94</v>
      </c>
    </row>
    <row r="117" spans="1:1" x14ac:dyDescent="0.25">
      <c r="A117" t="s">
        <v>95</v>
      </c>
    </row>
    <row r="118" spans="1:1" x14ac:dyDescent="0.25">
      <c r="A118" t="s">
        <v>96</v>
      </c>
    </row>
    <row r="119" spans="1:1" x14ac:dyDescent="0.25">
      <c r="A119" t="s">
        <v>97</v>
      </c>
    </row>
    <row r="120" spans="1:1" x14ac:dyDescent="0.25">
      <c r="A120" t="s">
        <v>98</v>
      </c>
    </row>
    <row r="121" spans="1:1" x14ac:dyDescent="0.25">
      <c r="A121" t="s">
        <v>99</v>
      </c>
    </row>
    <row r="122" spans="1:1" x14ac:dyDescent="0.25">
      <c r="A122" t="s">
        <v>100</v>
      </c>
    </row>
    <row r="123" spans="1:1" x14ac:dyDescent="0.25">
      <c r="A123" t="s">
        <v>0</v>
      </c>
    </row>
    <row r="124" spans="1:1" x14ac:dyDescent="0.25">
      <c r="A124" t="s">
        <v>101</v>
      </c>
    </row>
    <row r="125" spans="1:1" x14ac:dyDescent="0.25">
      <c r="A125" t="s">
        <v>2</v>
      </c>
    </row>
    <row r="127" spans="1:1" x14ac:dyDescent="0.25">
      <c r="A127" t="s">
        <v>3</v>
      </c>
    </row>
    <row r="128" spans="1:1" x14ac:dyDescent="0.25">
      <c r="A128" t="s">
        <v>4</v>
      </c>
    </row>
    <row r="129" spans="1:1" x14ac:dyDescent="0.25">
      <c r="A129" t="s">
        <v>5</v>
      </c>
    </row>
    <row r="130" spans="1:1" x14ac:dyDescent="0.25">
      <c r="A130" t="s">
        <v>6</v>
      </c>
    </row>
    <row r="131" spans="1:1" x14ac:dyDescent="0.25">
      <c r="A131" t="s">
        <v>3</v>
      </c>
    </row>
    <row r="133" spans="1:1" x14ac:dyDescent="0.25">
      <c r="A133" t="s">
        <v>7</v>
      </c>
    </row>
    <row r="135" spans="1:1" x14ac:dyDescent="0.25">
      <c r="A135" t="s">
        <v>102</v>
      </c>
    </row>
    <row r="136" spans="1:1" x14ac:dyDescent="0.25">
      <c r="A136" t="s">
        <v>103</v>
      </c>
    </row>
    <row r="137" spans="1:1" x14ac:dyDescent="0.25">
      <c r="A137" t="s">
        <v>104</v>
      </c>
    </row>
    <row r="138" spans="1:1" x14ac:dyDescent="0.25">
      <c r="A138" t="s">
        <v>105</v>
      </c>
    </row>
    <row r="139" spans="1:1" x14ac:dyDescent="0.25">
      <c r="A139" t="s">
        <v>106</v>
      </c>
    </row>
    <row r="140" spans="1:1" x14ac:dyDescent="0.25">
      <c r="A140" t="s">
        <v>107</v>
      </c>
    </row>
    <row r="141" spans="1:1" x14ac:dyDescent="0.25">
      <c r="A141" t="s">
        <v>108</v>
      </c>
    </row>
    <row r="142" spans="1:1" x14ac:dyDescent="0.25">
      <c r="A142" t="s">
        <v>109</v>
      </c>
    </row>
    <row r="143" spans="1:1" x14ac:dyDescent="0.25">
      <c r="A143" t="s">
        <v>110</v>
      </c>
    </row>
    <row r="144" spans="1:1" x14ac:dyDescent="0.25">
      <c r="A144" t="s">
        <v>111</v>
      </c>
    </row>
    <row r="145" spans="1:1" x14ac:dyDescent="0.25">
      <c r="A145" t="s">
        <v>112</v>
      </c>
    </row>
    <row r="146" spans="1:1" x14ac:dyDescent="0.25">
      <c r="A146" t="s">
        <v>113</v>
      </c>
    </row>
    <row r="148" spans="1:1" x14ac:dyDescent="0.25">
      <c r="A148" t="s">
        <v>114</v>
      </c>
    </row>
    <row r="149" spans="1:1" x14ac:dyDescent="0.25">
      <c r="A149" t="s">
        <v>115</v>
      </c>
    </row>
    <row r="150" spans="1:1" x14ac:dyDescent="0.25">
      <c r="A150" t="s">
        <v>116</v>
      </c>
    </row>
    <row r="151" spans="1:1" x14ac:dyDescent="0.25">
      <c r="A151" t="s">
        <v>117</v>
      </c>
    </row>
    <row r="152" spans="1:1" x14ac:dyDescent="0.25">
      <c r="A152" t="s">
        <v>118</v>
      </c>
    </row>
    <row r="153" spans="1:1" x14ac:dyDescent="0.25">
      <c r="A153" t="s">
        <v>119</v>
      </c>
    </row>
    <row r="154" spans="1:1" x14ac:dyDescent="0.25">
      <c r="A154" t="s">
        <v>120</v>
      </c>
    </row>
    <row r="155" spans="1:1" x14ac:dyDescent="0.25">
      <c r="A155" t="s">
        <v>121</v>
      </c>
    </row>
    <row r="156" spans="1:1" x14ac:dyDescent="0.25">
      <c r="A156" t="s">
        <v>122</v>
      </c>
    </row>
    <row r="157" spans="1:1" x14ac:dyDescent="0.25">
      <c r="A157" t="s">
        <v>123</v>
      </c>
    </row>
    <row r="158" spans="1:1" x14ac:dyDescent="0.25">
      <c r="A158" t="s">
        <v>124</v>
      </c>
    </row>
    <row r="159" spans="1:1" x14ac:dyDescent="0.25">
      <c r="A159" t="s">
        <v>125</v>
      </c>
    </row>
    <row r="160" spans="1:1" x14ac:dyDescent="0.25">
      <c r="A160" t="s">
        <v>126</v>
      </c>
    </row>
    <row r="161" spans="1:1" x14ac:dyDescent="0.25">
      <c r="A161" t="s">
        <v>127</v>
      </c>
    </row>
    <row r="162" spans="1:1" x14ac:dyDescent="0.25">
      <c r="A162" t="s">
        <v>128</v>
      </c>
    </row>
    <row r="163" spans="1:1" x14ac:dyDescent="0.25">
      <c r="A163" t="s">
        <v>129</v>
      </c>
    </row>
    <row r="164" spans="1:1" x14ac:dyDescent="0.25">
      <c r="A164" t="s">
        <v>130</v>
      </c>
    </row>
    <row r="165" spans="1:1" x14ac:dyDescent="0.25">
      <c r="A165" t="s">
        <v>131</v>
      </c>
    </row>
    <row r="166" spans="1:1" x14ac:dyDescent="0.25">
      <c r="A166" t="s">
        <v>132</v>
      </c>
    </row>
    <row r="167" spans="1:1" x14ac:dyDescent="0.25">
      <c r="A167" t="s">
        <v>133</v>
      </c>
    </row>
    <row r="169" spans="1:1" x14ac:dyDescent="0.25">
      <c r="A169" t="s">
        <v>134</v>
      </c>
    </row>
    <row r="170" spans="1:1" x14ac:dyDescent="0.25">
      <c r="A170" t="s">
        <v>135</v>
      </c>
    </row>
    <row r="171" spans="1:1" x14ac:dyDescent="0.25">
      <c r="A171" t="s">
        <v>136</v>
      </c>
    </row>
    <row r="172" spans="1:1" x14ac:dyDescent="0.25">
      <c r="A172" t="s">
        <v>137</v>
      </c>
    </row>
    <row r="173" spans="1:1" x14ac:dyDescent="0.25">
      <c r="A173" t="s">
        <v>138</v>
      </c>
    </row>
    <row r="174" spans="1:1" x14ac:dyDescent="0.25">
      <c r="A174" t="s">
        <v>139</v>
      </c>
    </row>
    <row r="175" spans="1:1" x14ac:dyDescent="0.25">
      <c r="A175" t="s">
        <v>140</v>
      </c>
    </row>
    <row r="176" spans="1:1" x14ac:dyDescent="0.25">
      <c r="A176" t="s">
        <v>141</v>
      </c>
    </row>
    <row r="177" spans="1:1" x14ac:dyDescent="0.25">
      <c r="A177" t="s">
        <v>142</v>
      </c>
    </row>
    <row r="178" spans="1:1" x14ac:dyDescent="0.25">
      <c r="A178" t="s">
        <v>143</v>
      </c>
    </row>
    <row r="179" spans="1:1" x14ac:dyDescent="0.25">
      <c r="A179" t="s">
        <v>144</v>
      </c>
    </row>
    <row r="180" spans="1:1" x14ac:dyDescent="0.25">
      <c r="A180" t="s">
        <v>145</v>
      </c>
    </row>
    <row r="181" spans="1:1" x14ac:dyDescent="0.25">
      <c r="A181" t="s">
        <v>146</v>
      </c>
    </row>
    <row r="182" spans="1:1" x14ac:dyDescent="0.25">
      <c r="A182" t="s">
        <v>147</v>
      </c>
    </row>
    <row r="183" spans="1:1" x14ac:dyDescent="0.25">
      <c r="A183" t="s">
        <v>0</v>
      </c>
    </row>
    <row r="184" spans="1:1" x14ac:dyDescent="0.25">
      <c r="A184" t="s">
        <v>148</v>
      </c>
    </row>
    <row r="185" spans="1:1" x14ac:dyDescent="0.25">
      <c r="A185" t="s">
        <v>2</v>
      </c>
    </row>
    <row r="187" spans="1:1" x14ac:dyDescent="0.25">
      <c r="A187" t="s">
        <v>3</v>
      </c>
    </row>
    <row r="188" spans="1:1" x14ac:dyDescent="0.25">
      <c r="A188" t="s">
        <v>4</v>
      </c>
    </row>
    <row r="189" spans="1:1" x14ac:dyDescent="0.25">
      <c r="A189" t="s">
        <v>5</v>
      </c>
    </row>
    <row r="190" spans="1:1" x14ac:dyDescent="0.25">
      <c r="A190" t="s">
        <v>6</v>
      </c>
    </row>
    <row r="191" spans="1:1" x14ac:dyDescent="0.25">
      <c r="A191" t="s">
        <v>3</v>
      </c>
    </row>
    <row r="193" spans="1:1" x14ac:dyDescent="0.25">
      <c r="A193" t="s">
        <v>7</v>
      </c>
    </row>
    <row r="195" spans="1:1" x14ac:dyDescent="0.25">
      <c r="A195" t="s">
        <v>149</v>
      </c>
    </row>
    <row r="196" spans="1:1" x14ac:dyDescent="0.25">
      <c r="A196" t="s">
        <v>150</v>
      </c>
    </row>
    <row r="197" spans="1:1" x14ac:dyDescent="0.25">
      <c r="A197" t="s">
        <v>151</v>
      </c>
    </row>
    <row r="198" spans="1:1" x14ac:dyDescent="0.25">
      <c r="A198" t="s">
        <v>152</v>
      </c>
    </row>
    <row r="199" spans="1:1" x14ac:dyDescent="0.25">
      <c r="A199" t="s">
        <v>153</v>
      </c>
    </row>
    <row r="200" spans="1:1" x14ac:dyDescent="0.25">
      <c r="A200" t="s">
        <v>154</v>
      </c>
    </row>
    <row r="202" spans="1:1" x14ac:dyDescent="0.25">
      <c r="A202" t="s">
        <v>155</v>
      </c>
    </row>
    <row r="203" spans="1:1" x14ac:dyDescent="0.25">
      <c r="A203" t="s">
        <v>156</v>
      </c>
    </row>
    <row r="204" spans="1:1" x14ac:dyDescent="0.25">
      <c r="A204" t="s">
        <v>157</v>
      </c>
    </row>
    <row r="205" spans="1:1" x14ac:dyDescent="0.25">
      <c r="A205" t="s">
        <v>158</v>
      </c>
    </row>
    <row r="206" spans="1:1" x14ac:dyDescent="0.25">
      <c r="A206" t="s">
        <v>159</v>
      </c>
    </row>
    <row r="207" spans="1:1" x14ac:dyDescent="0.25">
      <c r="A207" t="s">
        <v>160</v>
      </c>
    </row>
    <row r="208" spans="1:1" x14ac:dyDescent="0.25">
      <c r="A208" t="s">
        <v>161</v>
      </c>
    </row>
    <row r="209" spans="1:1" x14ac:dyDescent="0.25">
      <c r="A209" t="s">
        <v>162</v>
      </c>
    </row>
    <row r="210" spans="1:1" x14ac:dyDescent="0.25">
      <c r="A210" t="s">
        <v>163</v>
      </c>
    </row>
    <row r="211" spans="1:1" x14ac:dyDescent="0.25">
      <c r="A211" t="s">
        <v>164</v>
      </c>
    </row>
    <row r="212" spans="1:1" x14ac:dyDescent="0.25">
      <c r="A212" t="s">
        <v>165</v>
      </c>
    </row>
    <row r="213" spans="1:1" x14ac:dyDescent="0.25">
      <c r="A213" t="s">
        <v>166</v>
      </c>
    </row>
    <row r="214" spans="1:1" x14ac:dyDescent="0.25">
      <c r="A214" t="s">
        <v>167</v>
      </c>
    </row>
    <row r="215" spans="1:1" x14ac:dyDescent="0.25">
      <c r="A215" t="s">
        <v>168</v>
      </c>
    </row>
    <row r="216" spans="1:1" x14ac:dyDescent="0.25">
      <c r="A216" t="s">
        <v>169</v>
      </c>
    </row>
    <row r="217" spans="1:1" x14ac:dyDescent="0.25">
      <c r="A217" t="s">
        <v>170</v>
      </c>
    </row>
    <row r="218" spans="1:1" x14ac:dyDescent="0.25">
      <c r="A218" t="s">
        <v>171</v>
      </c>
    </row>
    <row r="219" spans="1:1" x14ac:dyDescent="0.25">
      <c r="A219" t="s">
        <v>172</v>
      </c>
    </row>
    <row r="220" spans="1:1" x14ac:dyDescent="0.25">
      <c r="A220" t="s">
        <v>173</v>
      </c>
    </row>
    <row r="221" spans="1:1" x14ac:dyDescent="0.25">
      <c r="A221" t="s">
        <v>174</v>
      </c>
    </row>
    <row r="223" spans="1:1" x14ac:dyDescent="0.25">
      <c r="A223" t="s">
        <v>175</v>
      </c>
    </row>
    <row r="224" spans="1:1" x14ac:dyDescent="0.25">
      <c r="A224" t="s">
        <v>176</v>
      </c>
    </row>
    <row r="225" spans="1:1" x14ac:dyDescent="0.25">
      <c r="A225" t="s">
        <v>177</v>
      </c>
    </row>
    <row r="226" spans="1:1" x14ac:dyDescent="0.25">
      <c r="A226" t="s">
        <v>178</v>
      </c>
    </row>
    <row r="227" spans="1:1" x14ac:dyDescent="0.25">
      <c r="A227" t="s">
        <v>179</v>
      </c>
    </row>
    <row r="228" spans="1:1" x14ac:dyDescent="0.25">
      <c r="A228" t="s">
        <v>180</v>
      </c>
    </row>
    <row r="229" spans="1:1" x14ac:dyDescent="0.25">
      <c r="A229" t="s">
        <v>181</v>
      </c>
    </row>
    <row r="230" spans="1:1" x14ac:dyDescent="0.25">
      <c r="A230" t="s">
        <v>182</v>
      </c>
    </row>
    <row r="231" spans="1:1" x14ac:dyDescent="0.25">
      <c r="A231" t="s">
        <v>183</v>
      </c>
    </row>
    <row r="232" spans="1:1" x14ac:dyDescent="0.25">
      <c r="A232" t="s">
        <v>184</v>
      </c>
    </row>
    <row r="233" spans="1:1" x14ac:dyDescent="0.25">
      <c r="A233" t="s">
        <v>185</v>
      </c>
    </row>
    <row r="234" spans="1:1" x14ac:dyDescent="0.25">
      <c r="A234" t="s">
        <v>186</v>
      </c>
    </row>
    <row r="235" spans="1:1" x14ac:dyDescent="0.25">
      <c r="A235" t="s">
        <v>187</v>
      </c>
    </row>
    <row r="236" spans="1:1" x14ac:dyDescent="0.25">
      <c r="A236" t="s">
        <v>188</v>
      </c>
    </row>
    <row r="237" spans="1:1" x14ac:dyDescent="0.25">
      <c r="A237" t="s">
        <v>189</v>
      </c>
    </row>
    <row r="238" spans="1:1" x14ac:dyDescent="0.25">
      <c r="A238" t="s">
        <v>190</v>
      </c>
    </row>
    <row r="239" spans="1:1" x14ac:dyDescent="0.25">
      <c r="A239" t="s">
        <v>191</v>
      </c>
    </row>
    <row r="240" spans="1:1" x14ac:dyDescent="0.25">
      <c r="A240" t="s">
        <v>192</v>
      </c>
    </row>
    <row r="241" spans="1:1" x14ac:dyDescent="0.25">
      <c r="A241" t="s">
        <v>193</v>
      </c>
    </row>
    <row r="242" spans="1:1" x14ac:dyDescent="0.25">
      <c r="A242" t="s">
        <v>194</v>
      </c>
    </row>
    <row r="244" spans="1:1" x14ac:dyDescent="0.25">
      <c r="A244" t="s">
        <v>0</v>
      </c>
    </row>
    <row r="245" spans="1:1" x14ac:dyDescent="0.25">
      <c r="A245" t="s">
        <v>195</v>
      </c>
    </row>
    <row r="246" spans="1:1" x14ac:dyDescent="0.25">
      <c r="A246" t="s">
        <v>2</v>
      </c>
    </row>
    <row r="248" spans="1:1" x14ac:dyDescent="0.25">
      <c r="A248" t="s">
        <v>3</v>
      </c>
    </row>
    <row r="249" spans="1:1" x14ac:dyDescent="0.25">
      <c r="A249" t="s">
        <v>4</v>
      </c>
    </row>
    <row r="250" spans="1:1" x14ac:dyDescent="0.25">
      <c r="A250" t="s">
        <v>5</v>
      </c>
    </row>
    <row r="251" spans="1:1" x14ac:dyDescent="0.25">
      <c r="A251" t="s">
        <v>6</v>
      </c>
    </row>
    <row r="252" spans="1:1" x14ac:dyDescent="0.25">
      <c r="A252" t="s">
        <v>3</v>
      </c>
    </row>
    <row r="254" spans="1:1" x14ac:dyDescent="0.25">
      <c r="A254" t="s">
        <v>7</v>
      </c>
    </row>
    <row r="256" spans="1:1" x14ac:dyDescent="0.25">
      <c r="A256" t="s">
        <v>196</v>
      </c>
    </row>
    <row r="257" spans="1:1" x14ac:dyDescent="0.25">
      <c r="A257" t="s">
        <v>197</v>
      </c>
    </row>
    <row r="258" spans="1:1" x14ac:dyDescent="0.25">
      <c r="A258" t="s">
        <v>198</v>
      </c>
    </row>
    <row r="259" spans="1:1" x14ac:dyDescent="0.25">
      <c r="A259" t="s">
        <v>199</v>
      </c>
    </row>
    <row r="260" spans="1:1" x14ac:dyDescent="0.25">
      <c r="A260" t="s">
        <v>200</v>
      </c>
    </row>
    <row r="261" spans="1:1" x14ac:dyDescent="0.25">
      <c r="A261" t="s">
        <v>201</v>
      </c>
    </row>
    <row r="262" spans="1:1" x14ac:dyDescent="0.25">
      <c r="A262" t="s">
        <v>202</v>
      </c>
    </row>
    <row r="263" spans="1:1" x14ac:dyDescent="0.25">
      <c r="A263" t="s">
        <v>203</v>
      </c>
    </row>
    <row r="264" spans="1:1" x14ac:dyDescent="0.25">
      <c r="A264" t="s">
        <v>204</v>
      </c>
    </row>
    <row r="265" spans="1:1" x14ac:dyDescent="0.25">
      <c r="A265" t="s">
        <v>205</v>
      </c>
    </row>
    <row r="266" spans="1:1" x14ac:dyDescent="0.25">
      <c r="A266" t="s">
        <v>206</v>
      </c>
    </row>
    <row r="267" spans="1:1" x14ac:dyDescent="0.25">
      <c r="A267" t="s">
        <v>207</v>
      </c>
    </row>
    <row r="268" spans="1:1" x14ac:dyDescent="0.25">
      <c r="A268" t="s">
        <v>208</v>
      </c>
    </row>
    <row r="269" spans="1:1" x14ac:dyDescent="0.25">
      <c r="A269" t="s">
        <v>209</v>
      </c>
    </row>
    <row r="270" spans="1:1" x14ac:dyDescent="0.25">
      <c r="A270" t="s">
        <v>210</v>
      </c>
    </row>
    <row r="271" spans="1:1" x14ac:dyDescent="0.25">
      <c r="A271" t="s">
        <v>211</v>
      </c>
    </row>
    <row r="272" spans="1:1" x14ac:dyDescent="0.25">
      <c r="A272" t="s">
        <v>212</v>
      </c>
    </row>
    <row r="273" spans="1:1" x14ac:dyDescent="0.25">
      <c r="A273" t="s">
        <v>213</v>
      </c>
    </row>
    <row r="274" spans="1:1" x14ac:dyDescent="0.25">
      <c r="A274" t="s">
        <v>214</v>
      </c>
    </row>
    <row r="275" spans="1:1" x14ac:dyDescent="0.25">
      <c r="A275" t="s">
        <v>215</v>
      </c>
    </row>
    <row r="277" spans="1:1" x14ac:dyDescent="0.25">
      <c r="A277" t="s">
        <v>216</v>
      </c>
    </row>
    <row r="278" spans="1:1" x14ac:dyDescent="0.25">
      <c r="A278" t="s">
        <v>217</v>
      </c>
    </row>
    <row r="279" spans="1:1" x14ac:dyDescent="0.25">
      <c r="A279" t="s">
        <v>218</v>
      </c>
    </row>
    <row r="280" spans="1:1" x14ac:dyDescent="0.25">
      <c r="A280" t="s">
        <v>219</v>
      </c>
    </row>
    <row r="281" spans="1:1" x14ac:dyDescent="0.25">
      <c r="A281" t="s">
        <v>220</v>
      </c>
    </row>
    <row r="282" spans="1:1" x14ac:dyDescent="0.25">
      <c r="A282" t="s">
        <v>221</v>
      </c>
    </row>
    <row r="283" spans="1:1" x14ac:dyDescent="0.25">
      <c r="A283" t="s">
        <v>222</v>
      </c>
    </row>
    <row r="284" spans="1:1" x14ac:dyDescent="0.25">
      <c r="A284" t="s">
        <v>223</v>
      </c>
    </row>
    <row r="285" spans="1:1" x14ac:dyDescent="0.25">
      <c r="A285" t="s">
        <v>224</v>
      </c>
    </row>
    <row r="286" spans="1:1" x14ac:dyDescent="0.25">
      <c r="A286" t="s">
        <v>225</v>
      </c>
    </row>
    <row r="287" spans="1:1" x14ac:dyDescent="0.25">
      <c r="A287" t="s">
        <v>226</v>
      </c>
    </row>
    <row r="288" spans="1:1" x14ac:dyDescent="0.25">
      <c r="A288" t="s">
        <v>227</v>
      </c>
    </row>
    <row r="289" spans="1:1" x14ac:dyDescent="0.25">
      <c r="A289" t="s">
        <v>228</v>
      </c>
    </row>
    <row r="290" spans="1:1" x14ac:dyDescent="0.25">
      <c r="A290" t="s">
        <v>229</v>
      </c>
    </row>
    <row r="291" spans="1:1" x14ac:dyDescent="0.25">
      <c r="A291" t="s">
        <v>230</v>
      </c>
    </row>
    <row r="292" spans="1:1" x14ac:dyDescent="0.25">
      <c r="A292" t="s">
        <v>231</v>
      </c>
    </row>
    <row r="293" spans="1:1" x14ac:dyDescent="0.25">
      <c r="A293" t="s">
        <v>232</v>
      </c>
    </row>
    <row r="294" spans="1:1" x14ac:dyDescent="0.25">
      <c r="A294" t="s">
        <v>233</v>
      </c>
    </row>
    <row r="295" spans="1:1" x14ac:dyDescent="0.25">
      <c r="A295" t="s">
        <v>234</v>
      </c>
    </row>
    <row r="296" spans="1:1" x14ac:dyDescent="0.25">
      <c r="A296" t="s">
        <v>235</v>
      </c>
    </row>
    <row r="298" spans="1:1" x14ac:dyDescent="0.25">
      <c r="A298" t="s">
        <v>236</v>
      </c>
    </row>
    <row r="299" spans="1:1" x14ac:dyDescent="0.25">
      <c r="A299" t="s">
        <v>237</v>
      </c>
    </row>
    <row r="300" spans="1:1" x14ac:dyDescent="0.25">
      <c r="A300" t="s">
        <v>238</v>
      </c>
    </row>
    <row r="301" spans="1:1" x14ac:dyDescent="0.25">
      <c r="A301" t="s">
        <v>239</v>
      </c>
    </row>
    <row r="302" spans="1:1" x14ac:dyDescent="0.25">
      <c r="A302" t="s">
        <v>240</v>
      </c>
    </row>
    <row r="303" spans="1:1" x14ac:dyDescent="0.25">
      <c r="A303" t="s">
        <v>241</v>
      </c>
    </row>
    <row r="304" spans="1:1" x14ac:dyDescent="0.25">
      <c r="A304" t="s">
        <v>0</v>
      </c>
    </row>
    <row r="305" spans="1:1" x14ac:dyDescent="0.25">
      <c r="A305" t="s">
        <v>242</v>
      </c>
    </row>
    <row r="306" spans="1:1" x14ac:dyDescent="0.25">
      <c r="A306" t="s">
        <v>2</v>
      </c>
    </row>
    <row r="308" spans="1:1" x14ac:dyDescent="0.25">
      <c r="A308" t="s">
        <v>3</v>
      </c>
    </row>
    <row r="309" spans="1:1" x14ac:dyDescent="0.25">
      <c r="A309" t="s">
        <v>4</v>
      </c>
    </row>
    <row r="310" spans="1:1" x14ac:dyDescent="0.25">
      <c r="A310" t="s">
        <v>5</v>
      </c>
    </row>
    <row r="311" spans="1:1" x14ac:dyDescent="0.25">
      <c r="A311" t="s">
        <v>6</v>
      </c>
    </row>
    <row r="312" spans="1:1" x14ac:dyDescent="0.25">
      <c r="A312" t="s">
        <v>3</v>
      </c>
    </row>
    <row r="314" spans="1:1" x14ac:dyDescent="0.25">
      <c r="A314" t="s">
        <v>7</v>
      </c>
    </row>
    <row r="316" spans="1:1" x14ac:dyDescent="0.25">
      <c r="A316" t="s">
        <v>243</v>
      </c>
    </row>
    <row r="317" spans="1:1" x14ac:dyDescent="0.25">
      <c r="A317" t="s">
        <v>244</v>
      </c>
    </row>
    <row r="318" spans="1:1" x14ac:dyDescent="0.25">
      <c r="A318" t="s">
        <v>245</v>
      </c>
    </row>
    <row r="319" spans="1:1" x14ac:dyDescent="0.25">
      <c r="A319" t="s">
        <v>246</v>
      </c>
    </row>
    <row r="320" spans="1:1" x14ac:dyDescent="0.25">
      <c r="A320" t="s">
        <v>247</v>
      </c>
    </row>
    <row r="321" spans="1:1" x14ac:dyDescent="0.25">
      <c r="A321" t="s">
        <v>248</v>
      </c>
    </row>
    <row r="322" spans="1:1" x14ac:dyDescent="0.25">
      <c r="A322" t="s">
        <v>249</v>
      </c>
    </row>
    <row r="323" spans="1:1" x14ac:dyDescent="0.25">
      <c r="A323" t="s">
        <v>250</v>
      </c>
    </row>
    <row r="324" spans="1:1" x14ac:dyDescent="0.25">
      <c r="A324" t="s">
        <v>251</v>
      </c>
    </row>
    <row r="325" spans="1:1" x14ac:dyDescent="0.25">
      <c r="A325" t="s">
        <v>252</v>
      </c>
    </row>
    <row r="326" spans="1:1" x14ac:dyDescent="0.25">
      <c r="A326" t="s">
        <v>253</v>
      </c>
    </row>
    <row r="327" spans="1:1" x14ac:dyDescent="0.25">
      <c r="A327" t="s">
        <v>254</v>
      </c>
    </row>
    <row r="328" spans="1:1" x14ac:dyDescent="0.25">
      <c r="A328" t="s">
        <v>255</v>
      </c>
    </row>
    <row r="329" spans="1:1" x14ac:dyDescent="0.25">
      <c r="A329" t="s">
        <v>256</v>
      </c>
    </row>
    <row r="331" spans="1:1" x14ac:dyDescent="0.25">
      <c r="A331" t="s">
        <v>257</v>
      </c>
    </row>
    <row r="332" spans="1:1" x14ac:dyDescent="0.25">
      <c r="A332" t="s">
        <v>258</v>
      </c>
    </row>
    <row r="333" spans="1:1" x14ac:dyDescent="0.25">
      <c r="A333" t="s">
        <v>259</v>
      </c>
    </row>
    <row r="334" spans="1:1" x14ac:dyDescent="0.25">
      <c r="A334" t="s">
        <v>260</v>
      </c>
    </row>
    <row r="335" spans="1:1" x14ac:dyDescent="0.25">
      <c r="A335" t="s">
        <v>261</v>
      </c>
    </row>
    <row r="336" spans="1:1" x14ac:dyDescent="0.25">
      <c r="A336" t="s">
        <v>262</v>
      </c>
    </row>
    <row r="337" spans="1:1" x14ac:dyDescent="0.25">
      <c r="A337" t="s">
        <v>263</v>
      </c>
    </row>
    <row r="338" spans="1:1" x14ac:dyDescent="0.25">
      <c r="A338" t="s">
        <v>264</v>
      </c>
    </row>
    <row r="339" spans="1:1" x14ac:dyDescent="0.25">
      <c r="A339" t="s">
        <v>265</v>
      </c>
    </row>
    <row r="340" spans="1:1" x14ac:dyDescent="0.25">
      <c r="A340" t="s">
        <v>266</v>
      </c>
    </row>
    <row r="341" spans="1:1" x14ac:dyDescent="0.25">
      <c r="A341" t="s">
        <v>267</v>
      </c>
    </row>
    <row r="342" spans="1:1" x14ac:dyDescent="0.25">
      <c r="A342" t="s">
        <v>268</v>
      </c>
    </row>
    <row r="343" spans="1:1" x14ac:dyDescent="0.25">
      <c r="A343" t="s">
        <v>269</v>
      </c>
    </row>
    <row r="344" spans="1:1" x14ac:dyDescent="0.25">
      <c r="A344" t="s">
        <v>270</v>
      </c>
    </row>
    <row r="345" spans="1:1" x14ac:dyDescent="0.25">
      <c r="A345" t="s">
        <v>271</v>
      </c>
    </row>
    <row r="346" spans="1:1" x14ac:dyDescent="0.25">
      <c r="A346" t="s">
        <v>272</v>
      </c>
    </row>
    <row r="347" spans="1:1" x14ac:dyDescent="0.25">
      <c r="A347" t="s">
        <v>273</v>
      </c>
    </row>
    <row r="348" spans="1:1" x14ac:dyDescent="0.25">
      <c r="A348" t="s">
        <v>274</v>
      </c>
    </row>
    <row r="349" spans="1:1" x14ac:dyDescent="0.25">
      <c r="A349" t="s">
        <v>275</v>
      </c>
    </row>
    <row r="350" spans="1:1" x14ac:dyDescent="0.25">
      <c r="A350" t="s">
        <v>276</v>
      </c>
    </row>
    <row r="352" spans="1:1" x14ac:dyDescent="0.25">
      <c r="A352" t="s">
        <v>277</v>
      </c>
    </row>
    <row r="353" spans="1:1" x14ac:dyDescent="0.25">
      <c r="A353" t="s">
        <v>278</v>
      </c>
    </row>
    <row r="354" spans="1:1" x14ac:dyDescent="0.25">
      <c r="A354" t="s">
        <v>279</v>
      </c>
    </row>
    <row r="355" spans="1:1" x14ac:dyDescent="0.25">
      <c r="A355" t="s">
        <v>280</v>
      </c>
    </row>
    <row r="356" spans="1:1" x14ac:dyDescent="0.25">
      <c r="A356" t="s">
        <v>281</v>
      </c>
    </row>
    <row r="357" spans="1:1" x14ac:dyDescent="0.25">
      <c r="A357" t="s">
        <v>282</v>
      </c>
    </row>
    <row r="358" spans="1:1" x14ac:dyDescent="0.25">
      <c r="A358" t="s">
        <v>283</v>
      </c>
    </row>
    <row r="359" spans="1:1" x14ac:dyDescent="0.25">
      <c r="A359" t="s">
        <v>284</v>
      </c>
    </row>
    <row r="360" spans="1:1" x14ac:dyDescent="0.25">
      <c r="A360" t="s">
        <v>285</v>
      </c>
    </row>
    <row r="361" spans="1:1" x14ac:dyDescent="0.25">
      <c r="A361" t="s">
        <v>286</v>
      </c>
    </row>
    <row r="362" spans="1:1" x14ac:dyDescent="0.25">
      <c r="A362" t="s">
        <v>287</v>
      </c>
    </row>
    <row r="363" spans="1:1" x14ac:dyDescent="0.25">
      <c r="A363" t="s">
        <v>288</v>
      </c>
    </row>
    <row r="364" spans="1:1" x14ac:dyDescent="0.25">
      <c r="A364" t="s">
        <v>0</v>
      </c>
    </row>
    <row r="365" spans="1:1" x14ac:dyDescent="0.25">
      <c r="A365" t="s">
        <v>289</v>
      </c>
    </row>
    <row r="366" spans="1:1" x14ac:dyDescent="0.25">
      <c r="A366" t="s">
        <v>2</v>
      </c>
    </row>
    <row r="368" spans="1:1" x14ac:dyDescent="0.25">
      <c r="A368" t="s">
        <v>3</v>
      </c>
    </row>
    <row r="369" spans="1:1" x14ac:dyDescent="0.25">
      <c r="A369" t="s">
        <v>4</v>
      </c>
    </row>
    <row r="370" spans="1:1" x14ac:dyDescent="0.25">
      <c r="A370" t="s">
        <v>5</v>
      </c>
    </row>
    <row r="371" spans="1:1" x14ac:dyDescent="0.25">
      <c r="A371" t="s">
        <v>6</v>
      </c>
    </row>
    <row r="372" spans="1:1" x14ac:dyDescent="0.25">
      <c r="A372" t="s">
        <v>3</v>
      </c>
    </row>
    <row r="374" spans="1:1" x14ac:dyDescent="0.25">
      <c r="A374" t="s">
        <v>7</v>
      </c>
    </row>
    <row r="376" spans="1:1" x14ac:dyDescent="0.25">
      <c r="A376" t="s">
        <v>290</v>
      </c>
    </row>
    <row r="377" spans="1:1" x14ac:dyDescent="0.25">
      <c r="A377" t="s">
        <v>291</v>
      </c>
    </row>
    <row r="378" spans="1:1" x14ac:dyDescent="0.25">
      <c r="A378" t="s">
        <v>292</v>
      </c>
    </row>
    <row r="379" spans="1:1" x14ac:dyDescent="0.25">
      <c r="A379" t="s">
        <v>293</v>
      </c>
    </row>
    <row r="380" spans="1:1" x14ac:dyDescent="0.25">
      <c r="A380" t="s">
        <v>294</v>
      </c>
    </row>
    <row r="381" spans="1:1" x14ac:dyDescent="0.25">
      <c r="A381" t="s">
        <v>295</v>
      </c>
    </row>
    <row r="382" spans="1:1" x14ac:dyDescent="0.25">
      <c r="A382" t="s">
        <v>296</v>
      </c>
    </row>
    <row r="383" spans="1:1" x14ac:dyDescent="0.25">
      <c r="A383" t="s">
        <v>297</v>
      </c>
    </row>
    <row r="385" spans="1:1" x14ac:dyDescent="0.25">
      <c r="A385" t="s">
        <v>298</v>
      </c>
    </row>
    <row r="386" spans="1:1" x14ac:dyDescent="0.25">
      <c r="A386" t="s">
        <v>299</v>
      </c>
    </row>
    <row r="387" spans="1:1" x14ac:dyDescent="0.25">
      <c r="A387" t="s">
        <v>300</v>
      </c>
    </row>
    <row r="388" spans="1:1" x14ac:dyDescent="0.25">
      <c r="A388" t="s">
        <v>301</v>
      </c>
    </row>
    <row r="389" spans="1:1" x14ac:dyDescent="0.25">
      <c r="A389" t="s">
        <v>302</v>
      </c>
    </row>
    <row r="390" spans="1:1" x14ac:dyDescent="0.25">
      <c r="A390" t="s">
        <v>303</v>
      </c>
    </row>
    <row r="393" spans="1:1" x14ac:dyDescent="0.25">
      <c r="A393" t="s">
        <v>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47"/>
  <sheetViews>
    <sheetView tabSelected="1" topLeftCell="B1" workbookViewId="0">
      <selection activeCell="U11" sqref="U11"/>
    </sheetView>
  </sheetViews>
  <sheetFormatPr defaultRowHeight="15" x14ac:dyDescent="0.25"/>
  <cols>
    <col min="1" max="1" width="10.140625" style="5" bestFit="1" customWidth="1"/>
    <col min="2" max="2" width="33.85546875" bestFit="1" customWidth="1"/>
    <col min="3" max="3" width="7.85546875" style="4" bestFit="1" customWidth="1"/>
    <col min="4" max="4" width="7.140625" style="5" bestFit="1" customWidth="1"/>
    <col min="5" max="5" width="7.28515625" style="5" bestFit="1" customWidth="1"/>
    <col min="6" max="6" width="7.85546875" style="4" bestFit="1" customWidth="1"/>
    <col min="7" max="7" width="7.140625" style="5" bestFit="1" customWidth="1"/>
    <col min="8" max="8" width="7.28515625" style="5" bestFit="1" customWidth="1"/>
    <col min="9" max="9" width="7.85546875" style="4" bestFit="1" customWidth="1"/>
    <col min="10" max="10" width="7.140625" style="5" bestFit="1" customWidth="1"/>
    <col min="11" max="11" width="7.28515625" style="5" bestFit="1" customWidth="1"/>
    <col min="12" max="12" width="7.28515625" style="4" bestFit="1" customWidth="1"/>
    <col min="13" max="13" width="7.140625" style="5" bestFit="1" customWidth="1"/>
    <col min="14" max="14" width="7.28515625" style="5" bestFit="1" customWidth="1"/>
    <col min="15" max="15" width="7.28515625" style="4" bestFit="1" customWidth="1"/>
    <col min="16" max="16" width="7.140625" style="5" bestFit="1" customWidth="1"/>
    <col min="17" max="17" width="7.28515625" style="5" bestFit="1" customWidth="1"/>
    <col min="18" max="18" width="21.7109375" style="5" bestFit="1" customWidth="1"/>
    <col min="19" max="19" width="6.140625" style="5" bestFit="1" customWidth="1"/>
    <col min="20" max="20" width="9.42578125" style="5" customWidth="1"/>
  </cols>
  <sheetData>
    <row r="1" spans="1:20" s="3" customFormat="1" x14ac:dyDescent="0.25">
      <c r="A1" s="2" t="s">
        <v>462</v>
      </c>
      <c r="B1" s="1" t="s">
        <v>463</v>
      </c>
      <c r="C1" s="2" t="s">
        <v>464</v>
      </c>
      <c r="D1" s="2" t="s">
        <v>465</v>
      </c>
      <c r="E1" s="2" t="s">
        <v>466</v>
      </c>
      <c r="F1" s="2" t="s">
        <v>467</v>
      </c>
      <c r="G1" s="2" t="s">
        <v>465</v>
      </c>
      <c r="H1" s="2" t="s">
        <v>466</v>
      </c>
      <c r="I1" s="2" t="s">
        <v>468</v>
      </c>
      <c r="J1" s="2" t="s">
        <v>465</v>
      </c>
      <c r="K1" s="2" t="s">
        <v>466</v>
      </c>
      <c r="L1" s="2" t="s">
        <v>469</v>
      </c>
      <c r="M1" s="2" t="s">
        <v>465</v>
      </c>
      <c r="N1" s="2" t="s">
        <v>466</v>
      </c>
      <c r="O1" s="2" t="s">
        <v>469</v>
      </c>
      <c r="P1" s="2" t="s">
        <v>465</v>
      </c>
      <c r="Q1" s="2" t="s">
        <v>466</v>
      </c>
      <c r="R1" s="2" t="s">
        <v>470</v>
      </c>
      <c r="S1" s="2" t="s">
        <v>471</v>
      </c>
      <c r="T1" s="2" t="s">
        <v>472</v>
      </c>
    </row>
    <row r="2" spans="1:20" ht="15.75" x14ac:dyDescent="0.25">
      <c r="A2" s="6">
        <v>23605973</v>
      </c>
      <c r="B2" s="7" t="s">
        <v>402</v>
      </c>
      <c r="C2" s="2">
        <v>301</v>
      </c>
      <c r="D2" s="6">
        <v>95</v>
      </c>
      <c r="E2" s="6" t="s">
        <v>305</v>
      </c>
      <c r="F2" s="2">
        <v>55</v>
      </c>
      <c r="G2" s="6">
        <v>100</v>
      </c>
      <c r="H2" s="6" t="s">
        <v>305</v>
      </c>
      <c r="I2" s="2">
        <v>54</v>
      </c>
      <c r="J2" s="6">
        <v>99</v>
      </c>
      <c r="K2" s="6" t="s">
        <v>305</v>
      </c>
      <c r="L2" s="2">
        <v>37</v>
      </c>
      <c r="M2" s="6">
        <v>97</v>
      </c>
      <c r="N2" s="6" t="s">
        <v>305</v>
      </c>
      <c r="O2" s="2">
        <v>30</v>
      </c>
      <c r="P2" s="6">
        <v>99</v>
      </c>
      <c r="Q2" s="6" t="s">
        <v>305</v>
      </c>
      <c r="R2" s="6" t="s">
        <v>307</v>
      </c>
      <c r="S2" s="6">
        <f t="shared" ref="S2:S33" si="0">D2+G2+J2+M2+P2</f>
        <v>490</v>
      </c>
      <c r="T2" s="12">
        <f t="shared" ref="T2:T33" si="1">S2/5</f>
        <v>98</v>
      </c>
    </row>
    <row r="3" spans="1:20" x14ac:dyDescent="0.25">
      <c r="A3" s="6">
        <v>23606033</v>
      </c>
      <c r="B3" s="7" t="s">
        <v>460</v>
      </c>
      <c r="C3" s="2">
        <v>301</v>
      </c>
      <c r="D3" s="6">
        <v>94</v>
      </c>
      <c r="E3" s="6" t="s">
        <v>305</v>
      </c>
      <c r="F3" s="2">
        <v>27</v>
      </c>
      <c r="G3" s="6">
        <v>99</v>
      </c>
      <c r="H3" s="6" t="s">
        <v>305</v>
      </c>
      <c r="I3" s="2">
        <v>29</v>
      </c>
      <c r="J3" s="6">
        <v>99</v>
      </c>
      <c r="K3" s="6" t="s">
        <v>305</v>
      </c>
      <c r="L3" s="2">
        <v>30</v>
      </c>
      <c r="M3" s="6">
        <v>98</v>
      </c>
      <c r="N3" s="6" t="s">
        <v>305</v>
      </c>
      <c r="O3" s="2">
        <v>37</v>
      </c>
      <c r="P3" s="6">
        <v>99</v>
      </c>
      <c r="Q3" s="6" t="s">
        <v>305</v>
      </c>
      <c r="R3" s="6" t="s">
        <v>307</v>
      </c>
      <c r="S3" s="6">
        <f t="shared" si="0"/>
        <v>489</v>
      </c>
      <c r="T3" s="14">
        <f t="shared" si="1"/>
        <v>97.8</v>
      </c>
    </row>
    <row r="4" spans="1:20" x14ac:dyDescent="0.25">
      <c r="A4" s="6">
        <v>23605940</v>
      </c>
      <c r="B4" s="7" t="s">
        <v>368</v>
      </c>
      <c r="C4" s="2">
        <v>301</v>
      </c>
      <c r="D4" s="6">
        <v>98</v>
      </c>
      <c r="E4" s="6" t="s">
        <v>305</v>
      </c>
      <c r="F4" s="2">
        <v>42</v>
      </c>
      <c r="G4" s="6">
        <v>95</v>
      </c>
      <c r="H4" s="6" t="s">
        <v>305</v>
      </c>
      <c r="I4" s="2">
        <v>43</v>
      </c>
      <c r="J4" s="6">
        <v>98</v>
      </c>
      <c r="K4" s="6" t="s">
        <v>305</v>
      </c>
      <c r="L4" s="2">
        <v>41</v>
      </c>
      <c r="M4" s="6">
        <v>98</v>
      </c>
      <c r="N4" s="6" t="s">
        <v>305</v>
      </c>
      <c r="O4" s="2">
        <v>83</v>
      </c>
      <c r="P4" s="6">
        <v>98</v>
      </c>
      <c r="Q4" s="6" t="s">
        <v>305</v>
      </c>
      <c r="R4" s="6" t="s">
        <v>307</v>
      </c>
      <c r="S4" s="6">
        <f t="shared" si="0"/>
        <v>487</v>
      </c>
      <c r="T4" s="14">
        <f t="shared" si="1"/>
        <v>97.4</v>
      </c>
    </row>
    <row r="5" spans="1:20" x14ac:dyDescent="0.25">
      <c r="A5" s="6">
        <v>23605984</v>
      </c>
      <c r="B5" s="7" t="s">
        <v>413</v>
      </c>
      <c r="C5" s="2">
        <v>301</v>
      </c>
      <c r="D5" s="6">
        <v>97</v>
      </c>
      <c r="E5" s="6" t="s">
        <v>305</v>
      </c>
      <c r="F5" s="2">
        <v>55</v>
      </c>
      <c r="G5" s="6">
        <v>99</v>
      </c>
      <c r="H5" s="6" t="s">
        <v>305</v>
      </c>
      <c r="I5" s="2">
        <v>54</v>
      </c>
      <c r="J5" s="6">
        <v>98</v>
      </c>
      <c r="K5" s="6" t="s">
        <v>305</v>
      </c>
      <c r="L5" s="2">
        <v>41</v>
      </c>
      <c r="M5" s="6">
        <v>95</v>
      </c>
      <c r="N5" s="6" t="s">
        <v>305</v>
      </c>
      <c r="O5" s="2">
        <v>30</v>
      </c>
      <c r="P5" s="6">
        <v>98</v>
      </c>
      <c r="Q5" s="6" t="s">
        <v>305</v>
      </c>
      <c r="R5" s="6" t="s">
        <v>307</v>
      </c>
      <c r="S5" s="6">
        <f t="shared" si="0"/>
        <v>487</v>
      </c>
      <c r="T5" s="14">
        <f t="shared" si="1"/>
        <v>97.4</v>
      </c>
    </row>
    <row r="6" spans="1:20" x14ac:dyDescent="0.25">
      <c r="A6" s="6">
        <v>23606020</v>
      </c>
      <c r="B6" s="7" t="s">
        <v>447</v>
      </c>
      <c r="C6" s="2">
        <v>301</v>
      </c>
      <c r="D6" s="6">
        <v>97</v>
      </c>
      <c r="E6" s="6" t="s">
        <v>305</v>
      </c>
      <c r="F6" s="2">
        <v>27</v>
      </c>
      <c r="G6" s="6">
        <v>97</v>
      </c>
      <c r="H6" s="6" t="s">
        <v>305</v>
      </c>
      <c r="I6" s="2">
        <v>29</v>
      </c>
      <c r="J6" s="6">
        <v>98</v>
      </c>
      <c r="K6" s="6" t="s">
        <v>305</v>
      </c>
      <c r="L6" s="2">
        <v>28</v>
      </c>
      <c r="M6" s="6">
        <v>100</v>
      </c>
      <c r="N6" s="6" t="s">
        <v>305</v>
      </c>
      <c r="O6" s="2">
        <v>37</v>
      </c>
      <c r="P6" s="6">
        <v>95</v>
      </c>
      <c r="Q6" s="6" t="s">
        <v>305</v>
      </c>
      <c r="R6" s="6" t="s">
        <v>307</v>
      </c>
      <c r="S6" s="6">
        <f t="shared" si="0"/>
        <v>487</v>
      </c>
      <c r="T6" s="14">
        <f t="shared" si="1"/>
        <v>97.4</v>
      </c>
    </row>
    <row r="7" spans="1:20" x14ac:dyDescent="0.25">
      <c r="A7" s="6">
        <v>23605990</v>
      </c>
      <c r="B7" s="7" t="s">
        <v>419</v>
      </c>
      <c r="C7" s="2">
        <v>301</v>
      </c>
      <c r="D7" s="6">
        <v>92</v>
      </c>
      <c r="E7" s="6" t="s">
        <v>305</v>
      </c>
      <c r="F7" s="2">
        <v>55</v>
      </c>
      <c r="G7" s="6">
        <v>97</v>
      </c>
      <c r="H7" s="6" t="s">
        <v>305</v>
      </c>
      <c r="I7" s="2">
        <v>54</v>
      </c>
      <c r="J7" s="6">
        <v>99</v>
      </c>
      <c r="K7" s="6" t="s">
        <v>305</v>
      </c>
      <c r="L7" s="2">
        <v>49</v>
      </c>
      <c r="M7" s="6">
        <v>97</v>
      </c>
      <c r="N7" s="6" t="s">
        <v>305</v>
      </c>
      <c r="O7" s="2">
        <v>30</v>
      </c>
      <c r="P7" s="6">
        <v>100</v>
      </c>
      <c r="Q7" s="6" t="s">
        <v>305</v>
      </c>
      <c r="R7" s="6" t="s">
        <v>307</v>
      </c>
      <c r="S7" s="6">
        <f t="shared" si="0"/>
        <v>485</v>
      </c>
      <c r="T7" s="14">
        <f t="shared" si="1"/>
        <v>97</v>
      </c>
    </row>
    <row r="8" spans="1:20" x14ac:dyDescent="0.25">
      <c r="A8" s="6">
        <v>23606028</v>
      </c>
      <c r="B8" s="7" t="s">
        <v>455</v>
      </c>
      <c r="C8" s="2">
        <v>301</v>
      </c>
      <c r="D8" s="6">
        <v>96</v>
      </c>
      <c r="E8" s="6" t="s">
        <v>305</v>
      </c>
      <c r="F8" s="2">
        <v>27</v>
      </c>
      <c r="G8" s="6">
        <v>95</v>
      </c>
      <c r="H8" s="6" t="s">
        <v>305</v>
      </c>
      <c r="I8" s="2">
        <v>29</v>
      </c>
      <c r="J8" s="6">
        <v>95</v>
      </c>
      <c r="K8" s="6" t="s">
        <v>305</v>
      </c>
      <c r="L8" s="2">
        <v>28</v>
      </c>
      <c r="M8" s="6">
        <v>99</v>
      </c>
      <c r="N8" s="6" t="s">
        <v>305</v>
      </c>
      <c r="O8" s="2">
        <v>49</v>
      </c>
      <c r="P8" s="6">
        <v>98</v>
      </c>
      <c r="Q8" s="6" t="s">
        <v>305</v>
      </c>
      <c r="R8" s="6" t="s">
        <v>307</v>
      </c>
      <c r="S8" s="6">
        <f t="shared" si="0"/>
        <v>483</v>
      </c>
      <c r="T8" s="14">
        <f t="shared" si="1"/>
        <v>96.6</v>
      </c>
    </row>
    <row r="9" spans="1:20" x14ac:dyDescent="0.25">
      <c r="A9" s="6">
        <v>23605969</v>
      </c>
      <c r="B9" s="7" t="s">
        <v>398</v>
      </c>
      <c r="C9" s="2">
        <v>301</v>
      </c>
      <c r="D9" s="6">
        <v>97</v>
      </c>
      <c r="E9" s="6" t="s">
        <v>305</v>
      </c>
      <c r="F9" s="2">
        <v>55</v>
      </c>
      <c r="G9" s="6">
        <v>96</v>
      </c>
      <c r="H9" s="6" t="s">
        <v>305</v>
      </c>
      <c r="I9" s="2">
        <v>54</v>
      </c>
      <c r="J9" s="6">
        <v>95</v>
      </c>
      <c r="K9" s="6" t="s">
        <v>305</v>
      </c>
      <c r="L9" s="2">
        <v>41</v>
      </c>
      <c r="M9" s="6">
        <v>95</v>
      </c>
      <c r="N9" s="6" t="s">
        <v>305</v>
      </c>
      <c r="O9" s="2">
        <v>30</v>
      </c>
      <c r="P9" s="6">
        <v>98</v>
      </c>
      <c r="Q9" s="6" t="s">
        <v>305</v>
      </c>
      <c r="R9" s="6" t="s">
        <v>307</v>
      </c>
      <c r="S9" s="6">
        <f t="shared" si="0"/>
        <v>481</v>
      </c>
      <c r="T9" s="14">
        <f t="shared" si="1"/>
        <v>96.2</v>
      </c>
    </row>
    <row r="10" spans="1:20" x14ac:dyDescent="0.25">
      <c r="A10" s="6">
        <v>23606010</v>
      </c>
      <c r="B10" s="7" t="s">
        <v>438</v>
      </c>
      <c r="C10" s="2">
        <v>301</v>
      </c>
      <c r="D10" s="6">
        <v>93</v>
      </c>
      <c r="E10" s="6" t="s">
        <v>305</v>
      </c>
      <c r="F10" s="2">
        <v>27</v>
      </c>
      <c r="G10" s="6">
        <v>96</v>
      </c>
      <c r="H10" s="6" t="s">
        <v>305</v>
      </c>
      <c r="I10" s="2">
        <v>29</v>
      </c>
      <c r="J10" s="6">
        <v>97</v>
      </c>
      <c r="K10" s="6" t="s">
        <v>305</v>
      </c>
      <c r="L10" s="2">
        <v>28</v>
      </c>
      <c r="M10" s="6">
        <v>98</v>
      </c>
      <c r="N10" s="6" t="s">
        <v>305</v>
      </c>
      <c r="O10" s="2">
        <v>37</v>
      </c>
      <c r="P10" s="6">
        <v>97</v>
      </c>
      <c r="Q10" s="6" t="s">
        <v>305</v>
      </c>
      <c r="R10" s="6" t="s">
        <v>307</v>
      </c>
      <c r="S10" s="6">
        <f t="shared" si="0"/>
        <v>481</v>
      </c>
      <c r="T10" s="14">
        <f t="shared" si="1"/>
        <v>96.2</v>
      </c>
    </row>
    <row r="11" spans="1:20" x14ac:dyDescent="0.25">
      <c r="A11" s="6">
        <v>23606003</v>
      </c>
      <c r="B11" s="7" t="s">
        <v>317</v>
      </c>
      <c r="C11" s="2">
        <v>301</v>
      </c>
      <c r="D11" s="6">
        <v>98</v>
      </c>
      <c r="E11" s="6" t="s">
        <v>305</v>
      </c>
      <c r="F11" s="2">
        <v>27</v>
      </c>
      <c r="G11" s="6">
        <v>100</v>
      </c>
      <c r="H11" s="6" t="s">
        <v>305</v>
      </c>
      <c r="I11" s="2">
        <v>29</v>
      </c>
      <c r="J11" s="6">
        <v>97</v>
      </c>
      <c r="K11" s="6" t="s">
        <v>305</v>
      </c>
      <c r="L11" s="2">
        <v>41</v>
      </c>
      <c r="M11" s="6">
        <v>88</v>
      </c>
      <c r="N11" s="6" t="s">
        <v>305</v>
      </c>
      <c r="O11" s="2">
        <v>83</v>
      </c>
      <c r="P11" s="6">
        <v>97</v>
      </c>
      <c r="Q11" s="6" t="s">
        <v>305</v>
      </c>
      <c r="R11" s="6" t="s">
        <v>307</v>
      </c>
      <c r="S11" s="6">
        <f t="shared" si="0"/>
        <v>480</v>
      </c>
      <c r="T11" s="14">
        <f t="shared" si="1"/>
        <v>96</v>
      </c>
    </row>
    <row r="12" spans="1:20" x14ac:dyDescent="0.25">
      <c r="A12" s="6">
        <v>23605983</v>
      </c>
      <c r="B12" s="7" t="s">
        <v>412</v>
      </c>
      <c r="C12" s="2">
        <v>301</v>
      </c>
      <c r="D12" s="6">
        <v>89</v>
      </c>
      <c r="E12" s="6" t="s">
        <v>306</v>
      </c>
      <c r="F12" s="2">
        <v>55</v>
      </c>
      <c r="G12" s="6">
        <v>97</v>
      </c>
      <c r="H12" s="6" t="s">
        <v>305</v>
      </c>
      <c r="I12" s="2">
        <v>54</v>
      </c>
      <c r="J12" s="6">
        <v>98</v>
      </c>
      <c r="K12" s="6" t="s">
        <v>305</v>
      </c>
      <c r="L12" s="2">
        <v>37</v>
      </c>
      <c r="M12" s="6">
        <v>95</v>
      </c>
      <c r="N12" s="6" t="s">
        <v>305</v>
      </c>
      <c r="O12" s="2">
        <v>30</v>
      </c>
      <c r="P12" s="6">
        <v>100</v>
      </c>
      <c r="Q12" s="6" t="s">
        <v>305</v>
      </c>
      <c r="R12" s="6" t="s">
        <v>307</v>
      </c>
      <c r="S12" s="6">
        <f t="shared" si="0"/>
        <v>479</v>
      </c>
      <c r="T12" s="14">
        <f t="shared" si="1"/>
        <v>95.8</v>
      </c>
    </row>
    <row r="13" spans="1:20" x14ac:dyDescent="0.25">
      <c r="A13" s="6">
        <v>23605939</v>
      </c>
      <c r="B13" s="7" t="s">
        <v>367</v>
      </c>
      <c r="C13" s="2">
        <v>301</v>
      </c>
      <c r="D13" s="6">
        <v>94</v>
      </c>
      <c r="E13" s="6" t="s">
        <v>305</v>
      </c>
      <c r="F13" s="2">
        <v>42</v>
      </c>
      <c r="G13" s="6">
        <v>98</v>
      </c>
      <c r="H13" s="6" t="s">
        <v>305</v>
      </c>
      <c r="I13" s="2">
        <v>43</v>
      </c>
      <c r="J13" s="6">
        <v>95</v>
      </c>
      <c r="K13" s="6" t="s">
        <v>305</v>
      </c>
      <c r="L13" s="2">
        <v>41</v>
      </c>
      <c r="M13" s="6">
        <v>97</v>
      </c>
      <c r="N13" s="6" t="s">
        <v>305</v>
      </c>
      <c r="O13" s="2">
        <v>48</v>
      </c>
      <c r="P13" s="6">
        <v>94</v>
      </c>
      <c r="Q13" s="6" t="s">
        <v>305</v>
      </c>
      <c r="R13" s="6" t="s">
        <v>307</v>
      </c>
      <c r="S13" s="6">
        <f t="shared" si="0"/>
        <v>478</v>
      </c>
      <c r="T13" s="14">
        <f t="shared" si="1"/>
        <v>95.6</v>
      </c>
    </row>
    <row r="14" spans="1:20" x14ac:dyDescent="0.25">
      <c r="A14" s="6">
        <v>23605979</v>
      </c>
      <c r="B14" s="7" t="s">
        <v>408</v>
      </c>
      <c r="C14" s="2">
        <v>301</v>
      </c>
      <c r="D14" s="6">
        <v>93</v>
      </c>
      <c r="E14" s="6" t="s">
        <v>305</v>
      </c>
      <c r="F14" s="2">
        <v>55</v>
      </c>
      <c r="G14" s="6">
        <v>99</v>
      </c>
      <c r="H14" s="6" t="s">
        <v>305</v>
      </c>
      <c r="I14" s="2">
        <v>54</v>
      </c>
      <c r="J14" s="6">
        <v>100</v>
      </c>
      <c r="K14" s="6" t="s">
        <v>305</v>
      </c>
      <c r="L14" s="2">
        <v>41</v>
      </c>
      <c r="M14" s="6">
        <v>86</v>
      </c>
      <c r="N14" s="6" t="s">
        <v>306</v>
      </c>
      <c r="O14" s="2">
        <v>30</v>
      </c>
      <c r="P14" s="6">
        <v>98</v>
      </c>
      <c r="Q14" s="6" t="s">
        <v>305</v>
      </c>
      <c r="R14" s="6" t="s">
        <v>307</v>
      </c>
      <c r="S14" s="6">
        <f t="shared" si="0"/>
        <v>476</v>
      </c>
      <c r="T14" s="14">
        <f t="shared" si="1"/>
        <v>95.2</v>
      </c>
    </row>
    <row r="15" spans="1:20" x14ac:dyDescent="0.25">
      <c r="A15" s="6">
        <v>23606015</v>
      </c>
      <c r="B15" s="7" t="s">
        <v>442</v>
      </c>
      <c r="C15" s="2">
        <v>301</v>
      </c>
      <c r="D15" s="6">
        <v>97</v>
      </c>
      <c r="E15" s="6" t="s">
        <v>305</v>
      </c>
      <c r="F15" s="2">
        <v>27</v>
      </c>
      <c r="G15" s="6">
        <v>95</v>
      </c>
      <c r="H15" s="6" t="s">
        <v>305</v>
      </c>
      <c r="I15" s="2">
        <v>29</v>
      </c>
      <c r="J15" s="6">
        <v>95</v>
      </c>
      <c r="K15" s="6" t="s">
        <v>305</v>
      </c>
      <c r="L15" s="2">
        <v>30</v>
      </c>
      <c r="M15" s="6">
        <v>91</v>
      </c>
      <c r="N15" s="6" t="s">
        <v>305</v>
      </c>
      <c r="O15" s="2">
        <v>49</v>
      </c>
      <c r="P15" s="6">
        <v>97</v>
      </c>
      <c r="Q15" s="6" t="s">
        <v>305</v>
      </c>
      <c r="R15" s="6" t="s">
        <v>307</v>
      </c>
      <c r="S15" s="6">
        <f t="shared" si="0"/>
        <v>475</v>
      </c>
      <c r="T15" s="14">
        <f t="shared" si="1"/>
        <v>95</v>
      </c>
    </row>
    <row r="16" spans="1:20" x14ac:dyDescent="0.25">
      <c r="A16" s="6">
        <v>23605978</v>
      </c>
      <c r="B16" s="7" t="s">
        <v>407</v>
      </c>
      <c r="C16" s="2">
        <v>301</v>
      </c>
      <c r="D16" s="6">
        <v>92</v>
      </c>
      <c r="E16" s="6" t="s">
        <v>305</v>
      </c>
      <c r="F16" s="2">
        <v>55</v>
      </c>
      <c r="G16" s="6">
        <v>95</v>
      </c>
      <c r="H16" s="6" t="s">
        <v>305</v>
      </c>
      <c r="I16" s="2">
        <v>54</v>
      </c>
      <c r="J16" s="6">
        <v>97</v>
      </c>
      <c r="K16" s="6" t="s">
        <v>305</v>
      </c>
      <c r="L16" s="2">
        <v>37</v>
      </c>
      <c r="M16" s="6">
        <v>94</v>
      </c>
      <c r="N16" s="6" t="s">
        <v>306</v>
      </c>
      <c r="O16" s="2">
        <v>30</v>
      </c>
      <c r="P16" s="6">
        <v>95</v>
      </c>
      <c r="Q16" s="6" t="s">
        <v>305</v>
      </c>
      <c r="R16" s="6" t="s">
        <v>307</v>
      </c>
      <c r="S16" s="6">
        <f t="shared" si="0"/>
        <v>473</v>
      </c>
      <c r="T16" s="14">
        <f t="shared" si="1"/>
        <v>94.6</v>
      </c>
    </row>
    <row r="17" spans="1:20" x14ac:dyDescent="0.25">
      <c r="A17" s="6">
        <v>23605910</v>
      </c>
      <c r="B17" s="7" t="s">
        <v>340</v>
      </c>
      <c r="C17" s="2">
        <v>301</v>
      </c>
      <c r="D17" s="6">
        <v>94</v>
      </c>
      <c r="E17" s="6" t="s">
        <v>305</v>
      </c>
      <c r="F17" s="2">
        <v>42</v>
      </c>
      <c r="G17" s="6">
        <v>87</v>
      </c>
      <c r="H17" s="6" t="s">
        <v>305</v>
      </c>
      <c r="I17" s="2">
        <v>43</v>
      </c>
      <c r="J17" s="6">
        <v>98</v>
      </c>
      <c r="K17" s="6" t="s">
        <v>305</v>
      </c>
      <c r="L17" s="2">
        <v>41</v>
      </c>
      <c r="M17" s="6">
        <v>95</v>
      </c>
      <c r="N17" s="6" t="s">
        <v>305</v>
      </c>
      <c r="O17" s="2">
        <v>30</v>
      </c>
      <c r="P17" s="6">
        <v>98</v>
      </c>
      <c r="Q17" s="6" t="s">
        <v>305</v>
      </c>
      <c r="R17" s="6" t="s">
        <v>307</v>
      </c>
      <c r="S17" s="6">
        <f t="shared" si="0"/>
        <v>472</v>
      </c>
      <c r="T17" s="14">
        <f t="shared" si="1"/>
        <v>94.4</v>
      </c>
    </row>
    <row r="18" spans="1:20" x14ac:dyDescent="0.25">
      <c r="A18" s="6">
        <v>23605982</v>
      </c>
      <c r="B18" s="7" t="s">
        <v>411</v>
      </c>
      <c r="C18" s="2">
        <v>301</v>
      </c>
      <c r="D18" s="6">
        <v>89</v>
      </c>
      <c r="E18" s="6" t="s">
        <v>306</v>
      </c>
      <c r="F18" s="2">
        <v>55</v>
      </c>
      <c r="G18" s="6">
        <v>97</v>
      </c>
      <c r="H18" s="6" t="s">
        <v>305</v>
      </c>
      <c r="I18" s="2">
        <v>54</v>
      </c>
      <c r="J18" s="6">
        <v>98</v>
      </c>
      <c r="K18" s="6" t="s">
        <v>305</v>
      </c>
      <c r="L18" s="2">
        <v>37</v>
      </c>
      <c r="M18" s="6">
        <v>92</v>
      </c>
      <c r="N18" s="6" t="s">
        <v>306</v>
      </c>
      <c r="O18" s="2">
        <v>30</v>
      </c>
      <c r="P18" s="6">
        <v>96</v>
      </c>
      <c r="Q18" s="6" t="s">
        <v>305</v>
      </c>
      <c r="R18" s="6" t="s">
        <v>307</v>
      </c>
      <c r="S18" s="6">
        <f t="shared" si="0"/>
        <v>472</v>
      </c>
      <c r="T18" s="14">
        <f t="shared" si="1"/>
        <v>94.4</v>
      </c>
    </row>
    <row r="19" spans="1:20" x14ac:dyDescent="0.25">
      <c r="A19" s="6">
        <v>23605895</v>
      </c>
      <c r="B19" s="7" t="s">
        <v>324</v>
      </c>
      <c r="C19" s="2">
        <v>301</v>
      </c>
      <c r="D19" s="6">
        <v>95</v>
      </c>
      <c r="E19" s="6" t="s">
        <v>305</v>
      </c>
      <c r="F19" s="2">
        <v>42</v>
      </c>
      <c r="G19" s="6">
        <v>91</v>
      </c>
      <c r="H19" s="6" t="s">
        <v>305</v>
      </c>
      <c r="I19" s="2">
        <v>43</v>
      </c>
      <c r="J19" s="6">
        <v>93</v>
      </c>
      <c r="K19" s="6" t="s">
        <v>305</v>
      </c>
      <c r="L19" s="2">
        <v>41</v>
      </c>
      <c r="M19" s="6">
        <v>95</v>
      </c>
      <c r="N19" s="6" t="s">
        <v>305</v>
      </c>
      <c r="O19" s="2">
        <v>83</v>
      </c>
      <c r="P19" s="6">
        <v>97</v>
      </c>
      <c r="Q19" s="6" t="s">
        <v>305</v>
      </c>
      <c r="R19" s="6" t="s">
        <v>307</v>
      </c>
      <c r="S19" s="6">
        <f t="shared" si="0"/>
        <v>471</v>
      </c>
      <c r="T19" s="14">
        <f t="shared" si="1"/>
        <v>94.2</v>
      </c>
    </row>
    <row r="20" spans="1:20" x14ac:dyDescent="0.25">
      <c r="A20" s="6">
        <v>23605925</v>
      </c>
      <c r="B20" s="7" t="s">
        <v>353</v>
      </c>
      <c r="C20" s="2">
        <v>301</v>
      </c>
      <c r="D20" s="6">
        <v>95</v>
      </c>
      <c r="E20" s="6" t="s">
        <v>305</v>
      </c>
      <c r="F20" s="2">
        <v>42</v>
      </c>
      <c r="G20" s="6">
        <v>95</v>
      </c>
      <c r="H20" s="6" t="s">
        <v>305</v>
      </c>
      <c r="I20" s="2">
        <v>43</v>
      </c>
      <c r="J20" s="6">
        <v>95</v>
      </c>
      <c r="K20" s="6" t="s">
        <v>305</v>
      </c>
      <c r="L20" s="2">
        <v>41</v>
      </c>
      <c r="M20" s="6">
        <v>90</v>
      </c>
      <c r="N20" s="6" t="s">
        <v>305</v>
      </c>
      <c r="O20" s="2">
        <v>48</v>
      </c>
      <c r="P20" s="6">
        <v>96</v>
      </c>
      <c r="Q20" s="6" t="s">
        <v>305</v>
      </c>
      <c r="R20" s="6" t="s">
        <v>307</v>
      </c>
      <c r="S20" s="6">
        <f t="shared" si="0"/>
        <v>471</v>
      </c>
      <c r="T20" s="14">
        <f t="shared" si="1"/>
        <v>94.2</v>
      </c>
    </row>
    <row r="21" spans="1:20" x14ac:dyDescent="0.25">
      <c r="A21" s="6">
        <v>23605943</v>
      </c>
      <c r="B21" s="7" t="s">
        <v>371</v>
      </c>
      <c r="C21" s="2">
        <v>301</v>
      </c>
      <c r="D21" s="6">
        <v>91</v>
      </c>
      <c r="E21" s="6" t="s">
        <v>305</v>
      </c>
      <c r="F21" s="2">
        <v>42</v>
      </c>
      <c r="G21" s="6">
        <v>93</v>
      </c>
      <c r="H21" s="6" t="s">
        <v>305</v>
      </c>
      <c r="I21" s="2">
        <v>43</v>
      </c>
      <c r="J21" s="6">
        <v>95</v>
      </c>
      <c r="K21" s="6" t="s">
        <v>305</v>
      </c>
      <c r="L21" s="2">
        <v>41</v>
      </c>
      <c r="M21" s="6">
        <v>95</v>
      </c>
      <c r="N21" s="6" t="s">
        <v>305</v>
      </c>
      <c r="O21" s="2">
        <v>48</v>
      </c>
      <c r="P21" s="6">
        <v>96</v>
      </c>
      <c r="Q21" s="6" t="s">
        <v>305</v>
      </c>
      <c r="R21" s="6" t="s">
        <v>307</v>
      </c>
      <c r="S21" s="6">
        <f t="shared" si="0"/>
        <v>470</v>
      </c>
      <c r="T21" s="14">
        <f t="shared" si="1"/>
        <v>94</v>
      </c>
    </row>
    <row r="22" spans="1:20" x14ac:dyDescent="0.25">
      <c r="A22" s="6">
        <v>23606031</v>
      </c>
      <c r="B22" s="7" t="s">
        <v>458</v>
      </c>
      <c r="C22" s="2">
        <v>301</v>
      </c>
      <c r="D22" s="6">
        <v>92</v>
      </c>
      <c r="E22" s="6" t="s">
        <v>305</v>
      </c>
      <c r="F22" s="2">
        <v>27</v>
      </c>
      <c r="G22" s="6">
        <v>95</v>
      </c>
      <c r="H22" s="6" t="s">
        <v>305</v>
      </c>
      <c r="I22" s="2">
        <v>29</v>
      </c>
      <c r="J22" s="6">
        <v>97</v>
      </c>
      <c r="K22" s="6" t="s">
        <v>305</v>
      </c>
      <c r="L22" s="2">
        <v>30</v>
      </c>
      <c r="M22" s="6">
        <v>91</v>
      </c>
      <c r="N22" s="6" t="s">
        <v>305</v>
      </c>
      <c r="O22" s="2">
        <v>37</v>
      </c>
      <c r="P22" s="6">
        <v>93</v>
      </c>
      <c r="Q22" s="6" t="s">
        <v>306</v>
      </c>
      <c r="R22" s="6" t="s">
        <v>307</v>
      </c>
      <c r="S22" s="6">
        <f t="shared" si="0"/>
        <v>468</v>
      </c>
      <c r="T22" s="14">
        <f t="shared" si="1"/>
        <v>93.6</v>
      </c>
    </row>
    <row r="23" spans="1:20" x14ac:dyDescent="0.25">
      <c r="A23" s="6">
        <v>23605898</v>
      </c>
      <c r="B23" s="7" t="s">
        <v>328</v>
      </c>
      <c r="C23" s="2">
        <v>301</v>
      </c>
      <c r="D23" s="6">
        <v>94</v>
      </c>
      <c r="E23" s="6" t="s">
        <v>305</v>
      </c>
      <c r="F23" s="2">
        <v>42</v>
      </c>
      <c r="G23" s="6">
        <v>95</v>
      </c>
      <c r="H23" s="6" t="s">
        <v>305</v>
      </c>
      <c r="I23" s="2">
        <v>43</v>
      </c>
      <c r="J23" s="6">
        <v>95</v>
      </c>
      <c r="K23" s="6" t="s">
        <v>305</v>
      </c>
      <c r="L23" s="2">
        <v>44</v>
      </c>
      <c r="M23" s="6">
        <v>86</v>
      </c>
      <c r="N23" s="6" t="s">
        <v>306</v>
      </c>
      <c r="O23" s="2">
        <v>37</v>
      </c>
      <c r="P23" s="6">
        <v>96</v>
      </c>
      <c r="Q23" s="6" t="s">
        <v>305</v>
      </c>
      <c r="R23" s="6" t="s">
        <v>307</v>
      </c>
      <c r="S23" s="6">
        <f t="shared" si="0"/>
        <v>466</v>
      </c>
      <c r="T23" s="14">
        <f t="shared" si="1"/>
        <v>93.2</v>
      </c>
    </row>
    <row r="24" spans="1:20" x14ac:dyDescent="0.25">
      <c r="A24" s="6">
        <v>23605997</v>
      </c>
      <c r="B24" s="7" t="s">
        <v>426</v>
      </c>
      <c r="C24" s="2">
        <v>301</v>
      </c>
      <c r="D24" s="6">
        <v>95</v>
      </c>
      <c r="E24" s="6" t="s">
        <v>305</v>
      </c>
      <c r="F24" s="2">
        <v>27</v>
      </c>
      <c r="G24" s="6">
        <v>99</v>
      </c>
      <c r="H24" s="6" t="s">
        <v>305</v>
      </c>
      <c r="I24" s="2">
        <v>29</v>
      </c>
      <c r="J24" s="6">
        <v>95</v>
      </c>
      <c r="K24" s="6" t="s">
        <v>305</v>
      </c>
      <c r="L24" s="2">
        <v>28</v>
      </c>
      <c r="M24" s="6">
        <v>96</v>
      </c>
      <c r="N24" s="6" t="s">
        <v>305</v>
      </c>
      <c r="O24" s="2">
        <v>302</v>
      </c>
      <c r="P24" s="6">
        <v>80</v>
      </c>
      <c r="Q24" s="6" t="s">
        <v>308</v>
      </c>
      <c r="R24" s="6" t="s">
        <v>307</v>
      </c>
      <c r="S24" s="6">
        <f t="shared" si="0"/>
        <v>465</v>
      </c>
      <c r="T24" s="14">
        <f t="shared" si="1"/>
        <v>93</v>
      </c>
    </row>
    <row r="25" spans="1:20" x14ac:dyDescent="0.25">
      <c r="A25" s="6">
        <v>23606000</v>
      </c>
      <c r="B25" s="7" t="s">
        <v>429</v>
      </c>
      <c r="C25" s="2">
        <v>301</v>
      </c>
      <c r="D25" s="6">
        <v>90</v>
      </c>
      <c r="E25" s="6" t="s">
        <v>306</v>
      </c>
      <c r="F25" s="2">
        <v>27</v>
      </c>
      <c r="G25" s="6">
        <v>96</v>
      </c>
      <c r="H25" s="6" t="s">
        <v>305</v>
      </c>
      <c r="I25" s="2">
        <v>29</v>
      </c>
      <c r="J25" s="6">
        <v>92</v>
      </c>
      <c r="K25" s="6" t="s">
        <v>305</v>
      </c>
      <c r="L25" s="2">
        <v>37</v>
      </c>
      <c r="M25" s="6">
        <v>95</v>
      </c>
      <c r="N25" s="6" t="s">
        <v>305</v>
      </c>
      <c r="O25" s="2">
        <v>30</v>
      </c>
      <c r="P25" s="6">
        <v>92</v>
      </c>
      <c r="Q25" s="6" t="s">
        <v>305</v>
      </c>
      <c r="R25" s="6" t="s">
        <v>307</v>
      </c>
      <c r="S25" s="6">
        <f t="shared" si="0"/>
        <v>465</v>
      </c>
      <c r="T25" s="14">
        <f t="shared" si="1"/>
        <v>93</v>
      </c>
    </row>
    <row r="26" spans="1:20" x14ac:dyDescent="0.25">
      <c r="A26" s="6">
        <v>23605980</v>
      </c>
      <c r="B26" s="7" t="s">
        <v>409</v>
      </c>
      <c r="C26" s="2">
        <v>301</v>
      </c>
      <c r="D26" s="6">
        <v>90</v>
      </c>
      <c r="E26" s="6" t="s">
        <v>306</v>
      </c>
      <c r="F26" s="2">
        <v>55</v>
      </c>
      <c r="G26" s="6">
        <v>98</v>
      </c>
      <c r="H26" s="6" t="s">
        <v>305</v>
      </c>
      <c r="I26" s="2">
        <v>54</v>
      </c>
      <c r="J26" s="6">
        <v>95</v>
      </c>
      <c r="K26" s="6" t="s">
        <v>305</v>
      </c>
      <c r="L26" s="2">
        <v>41</v>
      </c>
      <c r="M26" s="6">
        <v>90</v>
      </c>
      <c r="N26" s="6" t="s">
        <v>305</v>
      </c>
      <c r="O26" s="2">
        <v>30</v>
      </c>
      <c r="P26" s="6">
        <v>90</v>
      </c>
      <c r="Q26" s="6" t="s">
        <v>305</v>
      </c>
      <c r="R26" s="6" t="s">
        <v>307</v>
      </c>
      <c r="S26" s="6">
        <f t="shared" si="0"/>
        <v>463</v>
      </c>
      <c r="T26" s="14">
        <f t="shared" si="1"/>
        <v>92.6</v>
      </c>
    </row>
    <row r="27" spans="1:20" x14ac:dyDescent="0.25">
      <c r="A27" s="6">
        <v>23605902</v>
      </c>
      <c r="B27" s="7" t="s">
        <v>332</v>
      </c>
      <c r="C27" s="2">
        <v>301</v>
      </c>
      <c r="D27" s="6">
        <v>97</v>
      </c>
      <c r="E27" s="6" t="s">
        <v>305</v>
      </c>
      <c r="F27" s="2">
        <v>42</v>
      </c>
      <c r="G27" s="6">
        <v>77</v>
      </c>
      <c r="H27" s="6" t="s">
        <v>306</v>
      </c>
      <c r="I27" s="2">
        <v>43</v>
      </c>
      <c r="J27" s="6">
        <v>95</v>
      </c>
      <c r="K27" s="6" t="s">
        <v>305</v>
      </c>
      <c r="L27" s="2">
        <v>44</v>
      </c>
      <c r="M27" s="6">
        <v>95</v>
      </c>
      <c r="N27" s="6" t="s">
        <v>305</v>
      </c>
      <c r="O27" s="2">
        <v>49</v>
      </c>
      <c r="P27" s="6">
        <v>98</v>
      </c>
      <c r="Q27" s="6" t="s">
        <v>305</v>
      </c>
      <c r="R27" s="6" t="s">
        <v>307</v>
      </c>
      <c r="S27" s="6">
        <f t="shared" si="0"/>
        <v>462</v>
      </c>
      <c r="T27" s="14">
        <f t="shared" si="1"/>
        <v>92.4</v>
      </c>
    </row>
    <row r="28" spans="1:20" x14ac:dyDescent="0.25">
      <c r="A28" s="6">
        <v>23605993</v>
      </c>
      <c r="B28" s="7" t="s">
        <v>422</v>
      </c>
      <c r="C28" s="2">
        <v>301</v>
      </c>
      <c r="D28" s="6">
        <v>93</v>
      </c>
      <c r="E28" s="6" t="s">
        <v>305</v>
      </c>
      <c r="F28" s="2">
        <v>55</v>
      </c>
      <c r="G28" s="6">
        <v>95</v>
      </c>
      <c r="H28" s="6" t="s">
        <v>305</v>
      </c>
      <c r="I28" s="2">
        <v>54</v>
      </c>
      <c r="J28" s="6">
        <v>95</v>
      </c>
      <c r="K28" s="6" t="s">
        <v>305</v>
      </c>
      <c r="L28" s="2">
        <v>37</v>
      </c>
      <c r="M28" s="6">
        <v>83</v>
      </c>
      <c r="N28" s="6" t="s">
        <v>308</v>
      </c>
      <c r="O28" s="2">
        <v>48</v>
      </c>
      <c r="P28" s="6">
        <v>96</v>
      </c>
      <c r="Q28" s="6" t="s">
        <v>305</v>
      </c>
      <c r="R28" s="6" t="s">
        <v>307</v>
      </c>
      <c r="S28" s="6">
        <f t="shared" si="0"/>
        <v>462</v>
      </c>
      <c r="T28" s="14">
        <f t="shared" si="1"/>
        <v>92.4</v>
      </c>
    </row>
    <row r="29" spans="1:20" x14ac:dyDescent="0.25">
      <c r="A29" s="6">
        <v>23605894</v>
      </c>
      <c r="B29" s="7" t="s">
        <v>323</v>
      </c>
      <c r="C29" s="2">
        <v>301</v>
      </c>
      <c r="D29" s="6">
        <v>94</v>
      </c>
      <c r="E29" s="6" t="s">
        <v>305</v>
      </c>
      <c r="F29" s="2">
        <v>42</v>
      </c>
      <c r="G29" s="6">
        <v>88</v>
      </c>
      <c r="H29" s="6" t="s">
        <v>305</v>
      </c>
      <c r="I29" s="2">
        <v>43</v>
      </c>
      <c r="J29" s="6">
        <v>93</v>
      </c>
      <c r="K29" s="6" t="s">
        <v>305</v>
      </c>
      <c r="L29" s="2">
        <v>41</v>
      </c>
      <c r="M29" s="6">
        <v>94</v>
      </c>
      <c r="N29" s="6" t="s">
        <v>305</v>
      </c>
      <c r="O29" s="2">
        <v>30</v>
      </c>
      <c r="P29" s="6">
        <v>92</v>
      </c>
      <c r="Q29" s="6" t="s">
        <v>305</v>
      </c>
      <c r="R29" s="6" t="s">
        <v>307</v>
      </c>
      <c r="S29" s="6">
        <f t="shared" si="0"/>
        <v>461</v>
      </c>
      <c r="T29" s="14">
        <f t="shared" si="1"/>
        <v>92.2</v>
      </c>
    </row>
    <row r="30" spans="1:20" x14ac:dyDescent="0.25">
      <c r="A30" s="6">
        <v>23605915</v>
      </c>
      <c r="B30" s="7" t="s">
        <v>344</v>
      </c>
      <c r="C30" s="2">
        <v>301</v>
      </c>
      <c r="D30" s="6">
        <v>97</v>
      </c>
      <c r="E30" s="6" t="s">
        <v>305</v>
      </c>
      <c r="F30" s="2">
        <v>42</v>
      </c>
      <c r="G30" s="6">
        <v>95</v>
      </c>
      <c r="H30" s="6" t="s">
        <v>305</v>
      </c>
      <c r="I30" s="2">
        <v>43</v>
      </c>
      <c r="J30" s="6">
        <v>95</v>
      </c>
      <c r="K30" s="6" t="s">
        <v>305</v>
      </c>
      <c r="L30" s="2">
        <v>41</v>
      </c>
      <c r="M30" s="6">
        <v>92</v>
      </c>
      <c r="N30" s="6" t="s">
        <v>305</v>
      </c>
      <c r="O30" s="2">
        <v>83</v>
      </c>
      <c r="P30" s="6">
        <v>82</v>
      </c>
      <c r="Q30" s="6" t="s">
        <v>309</v>
      </c>
      <c r="R30" s="6" t="s">
        <v>307</v>
      </c>
      <c r="S30" s="6">
        <f t="shared" si="0"/>
        <v>461</v>
      </c>
      <c r="T30" s="14">
        <f t="shared" si="1"/>
        <v>92.2</v>
      </c>
    </row>
    <row r="31" spans="1:20" x14ac:dyDescent="0.25">
      <c r="A31" s="6">
        <v>23605995</v>
      </c>
      <c r="B31" s="7" t="s">
        <v>424</v>
      </c>
      <c r="C31" s="2">
        <v>301</v>
      </c>
      <c r="D31" s="6">
        <v>94</v>
      </c>
      <c r="E31" s="6" t="s">
        <v>305</v>
      </c>
      <c r="F31" s="2">
        <v>55</v>
      </c>
      <c r="G31" s="6">
        <v>91</v>
      </c>
      <c r="H31" s="6" t="s">
        <v>306</v>
      </c>
      <c r="I31" s="2">
        <v>54</v>
      </c>
      <c r="J31" s="6">
        <v>94</v>
      </c>
      <c r="K31" s="6" t="s">
        <v>305</v>
      </c>
      <c r="L31" s="2">
        <v>49</v>
      </c>
      <c r="M31" s="6">
        <v>93</v>
      </c>
      <c r="N31" s="6" t="s">
        <v>308</v>
      </c>
      <c r="O31" s="2">
        <v>30</v>
      </c>
      <c r="P31" s="6">
        <v>88</v>
      </c>
      <c r="Q31" s="6" t="s">
        <v>306</v>
      </c>
      <c r="R31" s="6" t="s">
        <v>307</v>
      </c>
      <c r="S31" s="6">
        <f t="shared" si="0"/>
        <v>460</v>
      </c>
      <c r="T31" s="14">
        <f t="shared" si="1"/>
        <v>92</v>
      </c>
    </row>
    <row r="32" spans="1:20" x14ac:dyDescent="0.25">
      <c r="A32" s="6">
        <v>23606004</v>
      </c>
      <c r="B32" s="7" t="s">
        <v>432</v>
      </c>
      <c r="C32" s="2">
        <v>301</v>
      </c>
      <c r="D32" s="6">
        <v>85</v>
      </c>
      <c r="E32" s="6" t="s">
        <v>308</v>
      </c>
      <c r="F32" s="2">
        <v>27</v>
      </c>
      <c r="G32" s="6">
        <v>95</v>
      </c>
      <c r="H32" s="6" t="s">
        <v>305</v>
      </c>
      <c r="I32" s="2">
        <v>29</v>
      </c>
      <c r="J32" s="6">
        <v>91</v>
      </c>
      <c r="K32" s="6" t="s">
        <v>305</v>
      </c>
      <c r="L32" s="2">
        <v>28</v>
      </c>
      <c r="M32" s="6">
        <v>93</v>
      </c>
      <c r="N32" s="6" t="s">
        <v>305</v>
      </c>
      <c r="O32" s="2">
        <v>49</v>
      </c>
      <c r="P32" s="6">
        <v>96</v>
      </c>
      <c r="Q32" s="6" t="s">
        <v>306</v>
      </c>
      <c r="R32" s="6" t="s">
        <v>307</v>
      </c>
      <c r="S32" s="6">
        <f t="shared" si="0"/>
        <v>460</v>
      </c>
      <c r="T32" s="14">
        <f t="shared" si="1"/>
        <v>92</v>
      </c>
    </row>
    <row r="33" spans="1:20" x14ac:dyDescent="0.25">
      <c r="A33" s="6">
        <v>23606017</v>
      </c>
      <c r="B33" s="7" t="s">
        <v>444</v>
      </c>
      <c r="C33" s="2">
        <v>301</v>
      </c>
      <c r="D33" s="6">
        <v>95</v>
      </c>
      <c r="E33" s="6" t="s">
        <v>305</v>
      </c>
      <c r="F33" s="2">
        <v>27</v>
      </c>
      <c r="G33" s="6">
        <v>93</v>
      </c>
      <c r="H33" s="6" t="s">
        <v>305</v>
      </c>
      <c r="I33" s="2">
        <v>29</v>
      </c>
      <c r="J33" s="6">
        <v>96</v>
      </c>
      <c r="K33" s="6" t="s">
        <v>305</v>
      </c>
      <c r="L33" s="2">
        <v>28</v>
      </c>
      <c r="M33" s="6">
        <v>87</v>
      </c>
      <c r="N33" s="6" t="s">
        <v>305</v>
      </c>
      <c r="O33" s="2">
        <v>302</v>
      </c>
      <c r="P33" s="6">
        <v>88</v>
      </c>
      <c r="Q33" s="6" t="s">
        <v>305</v>
      </c>
      <c r="R33" s="6" t="s">
        <v>307</v>
      </c>
      <c r="S33" s="6">
        <f t="shared" si="0"/>
        <v>459</v>
      </c>
      <c r="T33" s="14">
        <f t="shared" si="1"/>
        <v>91.8</v>
      </c>
    </row>
    <row r="34" spans="1:20" x14ac:dyDescent="0.25">
      <c r="A34" s="6">
        <v>23606019</v>
      </c>
      <c r="B34" s="7" t="s">
        <v>446</v>
      </c>
      <c r="C34" s="2">
        <v>301</v>
      </c>
      <c r="D34" s="6">
        <v>83</v>
      </c>
      <c r="E34" s="6" t="s">
        <v>308</v>
      </c>
      <c r="F34" s="2">
        <v>27</v>
      </c>
      <c r="G34" s="6">
        <v>93</v>
      </c>
      <c r="H34" s="6" t="s">
        <v>305</v>
      </c>
      <c r="I34" s="2">
        <v>29</v>
      </c>
      <c r="J34" s="6">
        <v>91</v>
      </c>
      <c r="K34" s="6" t="s">
        <v>305</v>
      </c>
      <c r="L34" s="2">
        <v>49</v>
      </c>
      <c r="M34" s="6">
        <v>94</v>
      </c>
      <c r="N34" s="6" t="s">
        <v>306</v>
      </c>
      <c r="O34" s="2">
        <v>48</v>
      </c>
      <c r="P34" s="6">
        <v>95</v>
      </c>
      <c r="Q34" s="6" t="s">
        <v>305</v>
      </c>
      <c r="R34" s="6" t="s">
        <v>307</v>
      </c>
      <c r="S34" s="6">
        <f t="shared" ref="S34:S65" si="2">D34+G34+J34+M34+P34</f>
        <v>456</v>
      </c>
      <c r="T34" s="14">
        <f t="shared" ref="T34:T65" si="3">S34/5</f>
        <v>91.2</v>
      </c>
    </row>
    <row r="35" spans="1:20" x14ac:dyDescent="0.25">
      <c r="A35" s="6">
        <v>23606030</v>
      </c>
      <c r="B35" s="7" t="s">
        <v>457</v>
      </c>
      <c r="C35" s="2">
        <v>301</v>
      </c>
      <c r="D35" s="6">
        <v>88</v>
      </c>
      <c r="E35" s="6" t="s">
        <v>306</v>
      </c>
      <c r="F35" s="2">
        <v>27</v>
      </c>
      <c r="G35" s="6">
        <v>88</v>
      </c>
      <c r="H35" s="6" t="s">
        <v>305</v>
      </c>
      <c r="I35" s="2">
        <v>29</v>
      </c>
      <c r="J35" s="6">
        <v>97</v>
      </c>
      <c r="K35" s="6" t="s">
        <v>305</v>
      </c>
      <c r="L35" s="2">
        <v>28</v>
      </c>
      <c r="M35" s="6">
        <v>87</v>
      </c>
      <c r="N35" s="6" t="s">
        <v>305</v>
      </c>
      <c r="O35" s="2">
        <v>37</v>
      </c>
      <c r="P35" s="6">
        <v>96</v>
      </c>
      <c r="Q35" s="6" t="s">
        <v>305</v>
      </c>
      <c r="R35" s="6" t="s">
        <v>307</v>
      </c>
      <c r="S35" s="6">
        <f t="shared" si="2"/>
        <v>456</v>
      </c>
      <c r="T35" s="14">
        <f t="shared" si="3"/>
        <v>91.2</v>
      </c>
    </row>
    <row r="36" spans="1:20" x14ac:dyDescent="0.25">
      <c r="A36" s="6">
        <v>23605913</v>
      </c>
      <c r="B36" s="7" t="s">
        <v>342</v>
      </c>
      <c r="C36" s="2">
        <v>301</v>
      </c>
      <c r="D36" s="6">
        <v>89</v>
      </c>
      <c r="E36" s="6" t="s">
        <v>306</v>
      </c>
      <c r="F36" s="2">
        <v>42</v>
      </c>
      <c r="G36" s="6">
        <v>88</v>
      </c>
      <c r="H36" s="6" t="s">
        <v>305</v>
      </c>
      <c r="I36" s="2">
        <v>43</v>
      </c>
      <c r="J36" s="6">
        <v>95</v>
      </c>
      <c r="K36" s="6" t="s">
        <v>305</v>
      </c>
      <c r="L36" s="2">
        <v>41</v>
      </c>
      <c r="M36" s="6">
        <v>84</v>
      </c>
      <c r="N36" s="6" t="s">
        <v>306</v>
      </c>
      <c r="O36" s="2">
        <v>48</v>
      </c>
      <c r="P36" s="6">
        <v>98</v>
      </c>
      <c r="Q36" s="6" t="s">
        <v>305</v>
      </c>
      <c r="R36" s="6" t="s">
        <v>307</v>
      </c>
      <c r="S36" s="6">
        <f t="shared" si="2"/>
        <v>454</v>
      </c>
      <c r="T36" s="14">
        <f t="shared" si="3"/>
        <v>90.8</v>
      </c>
    </row>
    <row r="37" spans="1:20" x14ac:dyDescent="0.25">
      <c r="A37" s="6">
        <v>23605909</v>
      </c>
      <c r="B37" s="7" t="s">
        <v>339</v>
      </c>
      <c r="C37" s="2">
        <v>301</v>
      </c>
      <c r="D37" s="6">
        <v>93</v>
      </c>
      <c r="E37" s="6" t="s">
        <v>305</v>
      </c>
      <c r="F37" s="2">
        <v>42</v>
      </c>
      <c r="G37" s="6">
        <v>93</v>
      </c>
      <c r="H37" s="6" t="s">
        <v>305</v>
      </c>
      <c r="I37" s="2">
        <v>43</v>
      </c>
      <c r="J37" s="6">
        <v>89</v>
      </c>
      <c r="K37" s="6" t="s">
        <v>306</v>
      </c>
      <c r="L37" s="2">
        <v>44</v>
      </c>
      <c r="M37" s="6">
        <v>94</v>
      </c>
      <c r="N37" s="6" t="s">
        <v>305</v>
      </c>
      <c r="O37" s="2">
        <v>37</v>
      </c>
      <c r="P37" s="6">
        <v>83</v>
      </c>
      <c r="Q37" s="6" t="s">
        <v>308</v>
      </c>
      <c r="R37" s="6" t="s">
        <v>307</v>
      </c>
      <c r="S37" s="6">
        <f t="shared" si="2"/>
        <v>452</v>
      </c>
      <c r="T37" s="14">
        <f t="shared" si="3"/>
        <v>90.4</v>
      </c>
    </row>
    <row r="38" spans="1:20" x14ac:dyDescent="0.25">
      <c r="A38" s="6">
        <v>23606008</v>
      </c>
      <c r="B38" s="7" t="s">
        <v>436</v>
      </c>
      <c r="C38" s="2">
        <v>301</v>
      </c>
      <c r="D38" s="6">
        <v>94</v>
      </c>
      <c r="E38" s="6" t="s">
        <v>305</v>
      </c>
      <c r="F38" s="2">
        <v>27</v>
      </c>
      <c r="G38" s="6">
        <v>87</v>
      </c>
      <c r="H38" s="6" t="s">
        <v>305</v>
      </c>
      <c r="I38" s="2">
        <v>29</v>
      </c>
      <c r="J38" s="6">
        <v>83</v>
      </c>
      <c r="K38" s="6" t="s">
        <v>306</v>
      </c>
      <c r="L38" s="2">
        <v>37</v>
      </c>
      <c r="M38" s="6">
        <v>92</v>
      </c>
      <c r="N38" s="6" t="s">
        <v>306</v>
      </c>
      <c r="O38" s="2">
        <v>34</v>
      </c>
      <c r="P38" s="6">
        <v>95</v>
      </c>
      <c r="Q38" s="6" t="s">
        <v>306</v>
      </c>
      <c r="R38" s="6" t="s">
        <v>307</v>
      </c>
      <c r="S38" s="6">
        <f t="shared" si="2"/>
        <v>451</v>
      </c>
      <c r="T38" s="14">
        <f t="shared" si="3"/>
        <v>90.2</v>
      </c>
    </row>
    <row r="39" spans="1:20" x14ac:dyDescent="0.25">
      <c r="A39" s="6">
        <v>23605924</v>
      </c>
      <c r="B39" s="7" t="s">
        <v>316</v>
      </c>
      <c r="C39" s="2">
        <v>301</v>
      </c>
      <c r="D39" s="6">
        <v>93</v>
      </c>
      <c r="E39" s="6" t="s">
        <v>305</v>
      </c>
      <c r="F39" s="2">
        <v>42</v>
      </c>
      <c r="G39" s="6">
        <v>88</v>
      </c>
      <c r="H39" s="6" t="s">
        <v>305</v>
      </c>
      <c r="I39" s="2">
        <v>43</v>
      </c>
      <c r="J39" s="6">
        <v>79</v>
      </c>
      <c r="K39" s="6" t="s">
        <v>308</v>
      </c>
      <c r="L39" s="2">
        <v>44</v>
      </c>
      <c r="M39" s="6">
        <v>95</v>
      </c>
      <c r="N39" s="6" t="s">
        <v>305</v>
      </c>
      <c r="O39" s="2">
        <v>37</v>
      </c>
      <c r="P39" s="6">
        <v>95</v>
      </c>
      <c r="Q39" s="6" t="s">
        <v>305</v>
      </c>
      <c r="R39" s="6" t="s">
        <v>307</v>
      </c>
      <c r="S39" s="6">
        <f t="shared" si="2"/>
        <v>450</v>
      </c>
      <c r="T39" s="14">
        <f t="shared" si="3"/>
        <v>90</v>
      </c>
    </row>
    <row r="40" spans="1:20" x14ac:dyDescent="0.25">
      <c r="A40" s="6">
        <v>23606023</v>
      </c>
      <c r="B40" s="7" t="s">
        <v>450</v>
      </c>
      <c r="C40" s="2">
        <v>301</v>
      </c>
      <c r="D40" s="6">
        <v>92</v>
      </c>
      <c r="E40" s="6" t="s">
        <v>305</v>
      </c>
      <c r="F40" s="2">
        <v>27</v>
      </c>
      <c r="G40" s="6">
        <v>89</v>
      </c>
      <c r="H40" s="6" t="s">
        <v>305</v>
      </c>
      <c r="I40" s="2">
        <v>29</v>
      </c>
      <c r="J40" s="6">
        <v>88</v>
      </c>
      <c r="K40" s="6" t="s">
        <v>305</v>
      </c>
      <c r="L40" s="2">
        <v>37</v>
      </c>
      <c r="M40" s="6">
        <v>95</v>
      </c>
      <c r="N40" s="6" t="s">
        <v>305</v>
      </c>
      <c r="O40" s="2">
        <v>83</v>
      </c>
      <c r="P40" s="6">
        <v>86</v>
      </c>
      <c r="Q40" s="6" t="s">
        <v>308</v>
      </c>
      <c r="R40" s="6" t="s">
        <v>307</v>
      </c>
      <c r="S40" s="6">
        <f t="shared" si="2"/>
        <v>450</v>
      </c>
      <c r="T40" s="14">
        <f t="shared" si="3"/>
        <v>90</v>
      </c>
    </row>
    <row r="41" spans="1:20" x14ac:dyDescent="0.25">
      <c r="A41" s="8">
        <v>23605953</v>
      </c>
      <c r="B41" s="9" t="s">
        <v>381</v>
      </c>
      <c r="C41" s="10">
        <v>301</v>
      </c>
      <c r="D41" s="8">
        <v>95</v>
      </c>
      <c r="E41" s="8" t="s">
        <v>305</v>
      </c>
      <c r="F41" s="10">
        <v>42</v>
      </c>
      <c r="G41" s="8">
        <v>87</v>
      </c>
      <c r="H41" s="8" t="s">
        <v>305</v>
      </c>
      <c r="I41" s="10">
        <v>43</v>
      </c>
      <c r="J41" s="8">
        <v>95</v>
      </c>
      <c r="K41" s="8" t="s">
        <v>305</v>
      </c>
      <c r="L41" s="10">
        <v>41</v>
      </c>
      <c r="M41" s="8">
        <v>79</v>
      </c>
      <c r="N41" s="8" t="s">
        <v>306</v>
      </c>
      <c r="O41" s="10">
        <v>83</v>
      </c>
      <c r="P41" s="8">
        <v>93</v>
      </c>
      <c r="Q41" s="8" t="s">
        <v>306</v>
      </c>
      <c r="R41" s="8" t="s">
        <v>307</v>
      </c>
      <c r="S41" s="8">
        <f t="shared" si="2"/>
        <v>449</v>
      </c>
      <c r="T41" s="11">
        <f t="shared" si="3"/>
        <v>89.8</v>
      </c>
    </row>
    <row r="42" spans="1:20" x14ac:dyDescent="0.25">
      <c r="A42" s="8">
        <v>23606026</v>
      </c>
      <c r="B42" s="9" t="s">
        <v>453</v>
      </c>
      <c r="C42" s="10">
        <v>301</v>
      </c>
      <c r="D42" s="8">
        <v>94</v>
      </c>
      <c r="E42" s="8" t="s">
        <v>305</v>
      </c>
      <c r="F42" s="10">
        <v>27</v>
      </c>
      <c r="G42" s="8">
        <v>93</v>
      </c>
      <c r="H42" s="8" t="s">
        <v>305</v>
      </c>
      <c r="I42" s="10">
        <v>29</v>
      </c>
      <c r="J42" s="8">
        <v>80</v>
      </c>
      <c r="K42" s="8" t="s">
        <v>306</v>
      </c>
      <c r="L42" s="10">
        <v>28</v>
      </c>
      <c r="M42" s="8">
        <v>95</v>
      </c>
      <c r="N42" s="8" t="s">
        <v>305</v>
      </c>
      <c r="O42" s="10">
        <v>302</v>
      </c>
      <c r="P42" s="8">
        <v>87</v>
      </c>
      <c r="Q42" s="8" t="s">
        <v>305</v>
      </c>
      <c r="R42" s="8" t="s">
        <v>307</v>
      </c>
      <c r="S42" s="8">
        <f t="shared" si="2"/>
        <v>449</v>
      </c>
      <c r="T42" s="11">
        <f t="shared" si="3"/>
        <v>89.8</v>
      </c>
    </row>
    <row r="43" spans="1:20" x14ac:dyDescent="0.25">
      <c r="A43" s="8">
        <v>23605917</v>
      </c>
      <c r="B43" s="9" t="s">
        <v>346</v>
      </c>
      <c r="C43" s="10">
        <v>301</v>
      </c>
      <c r="D43" s="8">
        <v>83</v>
      </c>
      <c r="E43" s="8" t="s">
        <v>308</v>
      </c>
      <c r="F43" s="10">
        <v>42</v>
      </c>
      <c r="G43" s="8">
        <v>95</v>
      </c>
      <c r="H43" s="8" t="s">
        <v>305</v>
      </c>
      <c r="I43" s="10">
        <v>43</v>
      </c>
      <c r="J43" s="8">
        <v>86</v>
      </c>
      <c r="K43" s="8" t="s">
        <v>306</v>
      </c>
      <c r="L43" s="10">
        <v>41</v>
      </c>
      <c r="M43" s="8">
        <v>90</v>
      </c>
      <c r="N43" s="8" t="s">
        <v>305</v>
      </c>
      <c r="O43" s="10">
        <v>83</v>
      </c>
      <c r="P43" s="8">
        <v>94</v>
      </c>
      <c r="Q43" s="8" t="s">
        <v>305</v>
      </c>
      <c r="R43" s="8" t="s">
        <v>307</v>
      </c>
      <c r="S43" s="8">
        <f t="shared" si="2"/>
        <v>448</v>
      </c>
      <c r="T43" s="11">
        <f t="shared" si="3"/>
        <v>89.6</v>
      </c>
    </row>
    <row r="44" spans="1:20" x14ac:dyDescent="0.25">
      <c r="A44" s="8">
        <v>23605956</v>
      </c>
      <c r="B44" s="9" t="s">
        <v>384</v>
      </c>
      <c r="C44" s="10">
        <v>301</v>
      </c>
      <c r="D44" s="8">
        <v>94</v>
      </c>
      <c r="E44" s="8" t="s">
        <v>305</v>
      </c>
      <c r="F44" s="10">
        <v>42</v>
      </c>
      <c r="G44" s="8">
        <v>88</v>
      </c>
      <c r="H44" s="8" t="s">
        <v>305</v>
      </c>
      <c r="I44" s="10">
        <v>43</v>
      </c>
      <c r="J44" s="8">
        <v>85</v>
      </c>
      <c r="K44" s="8" t="s">
        <v>306</v>
      </c>
      <c r="L44" s="10">
        <v>44</v>
      </c>
      <c r="M44" s="8">
        <v>86</v>
      </c>
      <c r="N44" s="8" t="s">
        <v>306</v>
      </c>
      <c r="O44" s="10">
        <v>37</v>
      </c>
      <c r="P44" s="8">
        <v>95</v>
      </c>
      <c r="Q44" s="8" t="s">
        <v>305</v>
      </c>
      <c r="R44" s="8" t="s">
        <v>307</v>
      </c>
      <c r="S44" s="8">
        <f t="shared" si="2"/>
        <v>448</v>
      </c>
      <c r="T44" s="11">
        <f t="shared" si="3"/>
        <v>89.6</v>
      </c>
    </row>
    <row r="45" spans="1:20" x14ac:dyDescent="0.25">
      <c r="A45" s="8">
        <v>23606032</v>
      </c>
      <c r="B45" s="9" t="s">
        <v>459</v>
      </c>
      <c r="C45" s="10">
        <v>301</v>
      </c>
      <c r="D45" s="8">
        <v>90</v>
      </c>
      <c r="E45" s="8" t="s">
        <v>306</v>
      </c>
      <c r="F45" s="10">
        <v>27</v>
      </c>
      <c r="G45" s="8">
        <v>85</v>
      </c>
      <c r="H45" s="8" t="s">
        <v>305</v>
      </c>
      <c r="I45" s="10">
        <v>29</v>
      </c>
      <c r="J45" s="8">
        <v>91</v>
      </c>
      <c r="K45" s="8" t="s">
        <v>305</v>
      </c>
      <c r="L45" s="10">
        <v>28</v>
      </c>
      <c r="M45" s="8">
        <v>88</v>
      </c>
      <c r="N45" s="8" t="s">
        <v>305</v>
      </c>
      <c r="O45" s="10">
        <v>49</v>
      </c>
      <c r="P45" s="8">
        <v>93</v>
      </c>
      <c r="Q45" s="8" t="s">
        <v>308</v>
      </c>
      <c r="R45" s="8" t="s">
        <v>307</v>
      </c>
      <c r="S45" s="8">
        <f t="shared" si="2"/>
        <v>447</v>
      </c>
      <c r="T45" s="11">
        <f t="shared" si="3"/>
        <v>89.4</v>
      </c>
    </row>
    <row r="46" spans="1:20" x14ac:dyDescent="0.25">
      <c r="A46" s="8">
        <v>23605967</v>
      </c>
      <c r="B46" s="9" t="s">
        <v>396</v>
      </c>
      <c r="C46" s="10">
        <v>301</v>
      </c>
      <c r="D46" s="8">
        <v>87</v>
      </c>
      <c r="E46" s="8" t="s">
        <v>306</v>
      </c>
      <c r="F46" s="10">
        <v>55</v>
      </c>
      <c r="G46" s="8">
        <v>95</v>
      </c>
      <c r="H46" s="8" t="s">
        <v>305</v>
      </c>
      <c r="I46" s="10">
        <v>54</v>
      </c>
      <c r="J46" s="8">
        <v>85</v>
      </c>
      <c r="K46" s="8" t="s">
        <v>306</v>
      </c>
      <c r="L46" s="10">
        <v>37</v>
      </c>
      <c r="M46" s="8">
        <v>90</v>
      </c>
      <c r="N46" s="8" t="s">
        <v>306</v>
      </c>
      <c r="O46" s="10">
        <v>30</v>
      </c>
      <c r="P46" s="8">
        <v>88</v>
      </c>
      <c r="Q46" s="8" t="s">
        <v>306</v>
      </c>
      <c r="R46" s="8" t="s">
        <v>307</v>
      </c>
      <c r="S46" s="8">
        <f t="shared" si="2"/>
        <v>445</v>
      </c>
      <c r="T46" s="11">
        <f t="shared" si="3"/>
        <v>89</v>
      </c>
    </row>
    <row r="47" spans="1:20" x14ac:dyDescent="0.25">
      <c r="A47" s="8">
        <v>23605920</v>
      </c>
      <c r="B47" s="9" t="s">
        <v>349</v>
      </c>
      <c r="C47" s="10">
        <v>301</v>
      </c>
      <c r="D47" s="8">
        <v>83</v>
      </c>
      <c r="E47" s="8" t="s">
        <v>308</v>
      </c>
      <c r="F47" s="10">
        <v>42</v>
      </c>
      <c r="G47" s="8">
        <v>95</v>
      </c>
      <c r="H47" s="8" t="s">
        <v>305</v>
      </c>
      <c r="I47" s="10">
        <v>43</v>
      </c>
      <c r="J47" s="8">
        <v>86</v>
      </c>
      <c r="K47" s="8" t="s">
        <v>306</v>
      </c>
      <c r="L47" s="10">
        <v>41</v>
      </c>
      <c r="M47" s="8">
        <v>85</v>
      </c>
      <c r="N47" s="8" t="s">
        <v>306</v>
      </c>
      <c r="O47" s="10">
        <v>48</v>
      </c>
      <c r="P47" s="8">
        <v>95</v>
      </c>
      <c r="Q47" s="8" t="s">
        <v>305</v>
      </c>
      <c r="R47" s="8" t="s">
        <v>307</v>
      </c>
      <c r="S47" s="8">
        <f t="shared" si="2"/>
        <v>444</v>
      </c>
      <c r="T47" s="11">
        <f t="shared" si="3"/>
        <v>88.8</v>
      </c>
    </row>
    <row r="48" spans="1:20" x14ac:dyDescent="0.25">
      <c r="A48" s="8">
        <v>23605896</v>
      </c>
      <c r="B48" s="9" t="s">
        <v>325</v>
      </c>
      <c r="C48" s="10">
        <v>301</v>
      </c>
      <c r="D48" s="8">
        <v>81</v>
      </c>
      <c r="E48" s="8" t="s">
        <v>308</v>
      </c>
      <c r="F48" s="10">
        <v>42</v>
      </c>
      <c r="G48" s="8">
        <v>89</v>
      </c>
      <c r="H48" s="8" t="s">
        <v>305</v>
      </c>
      <c r="I48" s="10">
        <v>43</v>
      </c>
      <c r="J48" s="8">
        <v>85</v>
      </c>
      <c r="K48" s="8" t="s">
        <v>306</v>
      </c>
      <c r="L48" s="10">
        <v>44</v>
      </c>
      <c r="M48" s="8">
        <v>94</v>
      </c>
      <c r="N48" s="8" t="s">
        <v>305</v>
      </c>
      <c r="O48" s="10">
        <v>302</v>
      </c>
      <c r="P48" s="8">
        <v>94</v>
      </c>
      <c r="Q48" s="8" t="s">
        <v>305</v>
      </c>
      <c r="R48" s="8" t="s">
        <v>307</v>
      </c>
      <c r="S48" s="8">
        <f t="shared" si="2"/>
        <v>443</v>
      </c>
      <c r="T48" s="11">
        <f t="shared" si="3"/>
        <v>88.6</v>
      </c>
    </row>
    <row r="49" spans="1:20" x14ac:dyDescent="0.25">
      <c r="A49" s="8">
        <v>23605929</v>
      </c>
      <c r="B49" s="9" t="s">
        <v>357</v>
      </c>
      <c r="C49" s="10">
        <v>301</v>
      </c>
      <c r="D49" s="8">
        <v>83</v>
      </c>
      <c r="E49" s="8" t="s">
        <v>308</v>
      </c>
      <c r="F49" s="10">
        <v>302</v>
      </c>
      <c r="G49" s="8">
        <v>91</v>
      </c>
      <c r="H49" s="8" t="s">
        <v>305</v>
      </c>
      <c r="I49" s="10">
        <v>42</v>
      </c>
      <c r="J49" s="8">
        <v>88</v>
      </c>
      <c r="K49" s="8" t="s">
        <v>305</v>
      </c>
      <c r="L49" s="10">
        <v>43</v>
      </c>
      <c r="M49" s="8">
        <v>87</v>
      </c>
      <c r="N49" s="8" t="s">
        <v>306</v>
      </c>
      <c r="O49" s="10">
        <v>44</v>
      </c>
      <c r="P49" s="8">
        <v>94</v>
      </c>
      <c r="Q49" s="8" t="s">
        <v>305</v>
      </c>
      <c r="R49" s="8" t="s">
        <v>307</v>
      </c>
      <c r="S49" s="8">
        <f t="shared" si="2"/>
        <v>443</v>
      </c>
      <c r="T49" s="11">
        <f t="shared" si="3"/>
        <v>88.6</v>
      </c>
    </row>
    <row r="50" spans="1:20" x14ac:dyDescent="0.25">
      <c r="A50" s="8">
        <v>23605991</v>
      </c>
      <c r="B50" s="9" t="s">
        <v>420</v>
      </c>
      <c r="C50" s="10">
        <v>301</v>
      </c>
      <c r="D50" s="8">
        <v>93</v>
      </c>
      <c r="E50" s="8" t="s">
        <v>305</v>
      </c>
      <c r="F50" s="10">
        <v>55</v>
      </c>
      <c r="G50" s="8">
        <v>95</v>
      </c>
      <c r="H50" s="8" t="s">
        <v>305</v>
      </c>
      <c r="I50" s="10">
        <v>54</v>
      </c>
      <c r="J50" s="8">
        <v>93</v>
      </c>
      <c r="K50" s="8" t="s">
        <v>305</v>
      </c>
      <c r="L50" s="10">
        <v>41</v>
      </c>
      <c r="M50" s="8">
        <v>71</v>
      </c>
      <c r="N50" s="8" t="s">
        <v>308</v>
      </c>
      <c r="O50" s="10">
        <v>30</v>
      </c>
      <c r="P50" s="8">
        <v>91</v>
      </c>
      <c r="Q50" s="8" t="s">
        <v>305</v>
      </c>
      <c r="R50" s="8" t="s">
        <v>307</v>
      </c>
      <c r="S50" s="8">
        <f t="shared" si="2"/>
        <v>443</v>
      </c>
      <c r="T50" s="11">
        <f t="shared" si="3"/>
        <v>88.6</v>
      </c>
    </row>
    <row r="51" spans="1:20" x14ac:dyDescent="0.25">
      <c r="A51" s="8">
        <v>23605892</v>
      </c>
      <c r="B51" s="9" t="s">
        <v>321</v>
      </c>
      <c r="C51" s="10">
        <v>301</v>
      </c>
      <c r="D51" s="8">
        <v>88</v>
      </c>
      <c r="E51" s="8" t="s">
        <v>306</v>
      </c>
      <c r="F51" s="10">
        <v>42</v>
      </c>
      <c r="G51" s="8">
        <v>77</v>
      </c>
      <c r="H51" s="8" t="s">
        <v>306</v>
      </c>
      <c r="I51" s="10">
        <v>43</v>
      </c>
      <c r="J51" s="8">
        <v>92</v>
      </c>
      <c r="K51" s="8" t="s">
        <v>305</v>
      </c>
      <c r="L51" s="10">
        <v>44</v>
      </c>
      <c r="M51" s="8">
        <v>91</v>
      </c>
      <c r="N51" s="8" t="s">
        <v>305</v>
      </c>
      <c r="O51" s="10">
        <v>37</v>
      </c>
      <c r="P51" s="8">
        <v>94</v>
      </c>
      <c r="Q51" s="8" t="s">
        <v>306</v>
      </c>
      <c r="R51" s="8" t="s">
        <v>307</v>
      </c>
      <c r="S51" s="8">
        <f t="shared" si="2"/>
        <v>442</v>
      </c>
      <c r="T51" s="11">
        <f t="shared" si="3"/>
        <v>88.4</v>
      </c>
    </row>
    <row r="52" spans="1:20" x14ac:dyDescent="0.25">
      <c r="A52" s="8">
        <v>23605893</v>
      </c>
      <c r="B52" s="9" t="s">
        <v>322</v>
      </c>
      <c r="C52" s="10">
        <v>301</v>
      </c>
      <c r="D52" s="8">
        <v>87</v>
      </c>
      <c r="E52" s="8" t="s">
        <v>306</v>
      </c>
      <c r="F52" s="10">
        <v>42</v>
      </c>
      <c r="G52" s="8">
        <v>94</v>
      </c>
      <c r="H52" s="8" t="s">
        <v>305</v>
      </c>
      <c r="I52" s="10">
        <v>43</v>
      </c>
      <c r="J52" s="8">
        <v>88</v>
      </c>
      <c r="K52" s="8" t="s">
        <v>306</v>
      </c>
      <c r="L52" s="10">
        <v>41</v>
      </c>
      <c r="M52" s="8">
        <v>74</v>
      </c>
      <c r="N52" s="8" t="s">
        <v>308</v>
      </c>
      <c r="O52" s="10">
        <v>48</v>
      </c>
      <c r="P52" s="8">
        <v>99</v>
      </c>
      <c r="Q52" s="8" t="s">
        <v>305</v>
      </c>
      <c r="R52" s="8" t="s">
        <v>307</v>
      </c>
      <c r="S52" s="8">
        <f t="shared" si="2"/>
        <v>442</v>
      </c>
      <c r="T52" s="11">
        <f t="shared" si="3"/>
        <v>88.4</v>
      </c>
    </row>
    <row r="53" spans="1:20" x14ac:dyDescent="0.25">
      <c r="A53" s="8">
        <v>23605938</v>
      </c>
      <c r="B53" s="9" t="s">
        <v>366</v>
      </c>
      <c r="C53" s="10">
        <v>301</v>
      </c>
      <c r="D53" s="8">
        <v>96</v>
      </c>
      <c r="E53" s="8" t="s">
        <v>305</v>
      </c>
      <c r="F53" s="10">
        <v>42</v>
      </c>
      <c r="G53" s="8">
        <v>95</v>
      </c>
      <c r="H53" s="8" t="s">
        <v>305</v>
      </c>
      <c r="I53" s="10">
        <v>43</v>
      </c>
      <c r="J53" s="8">
        <v>88</v>
      </c>
      <c r="K53" s="8" t="s">
        <v>306</v>
      </c>
      <c r="L53" s="10">
        <v>41</v>
      </c>
      <c r="M53" s="8">
        <v>67</v>
      </c>
      <c r="N53" s="8" t="s">
        <v>308</v>
      </c>
      <c r="O53" s="10">
        <v>48</v>
      </c>
      <c r="P53" s="8">
        <v>96</v>
      </c>
      <c r="Q53" s="8" t="s">
        <v>305</v>
      </c>
      <c r="R53" s="8" t="s">
        <v>307</v>
      </c>
      <c r="S53" s="8">
        <f t="shared" si="2"/>
        <v>442</v>
      </c>
      <c r="T53" s="11">
        <f t="shared" si="3"/>
        <v>88.4</v>
      </c>
    </row>
    <row r="54" spans="1:20" x14ac:dyDescent="0.25">
      <c r="A54" s="8">
        <v>23605921</v>
      </c>
      <c r="B54" s="9" t="s">
        <v>350</v>
      </c>
      <c r="C54" s="10">
        <v>301</v>
      </c>
      <c r="D54" s="8">
        <v>90</v>
      </c>
      <c r="E54" s="8" t="s">
        <v>306</v>
      </c>
      <c r="F54" s="10">
        <v>42</v>
      </c>
      <c r="G54" s="8">
        <v>86</v>
      </c>
      <c r="H54" s="8" t="s">
        <v>306</v>
      </c>
      <c r="I54" s="10">
        <v>43</v>
      </c>
      <c r="J54" s="8">
        <v>89</v>
      </c>
      <c r="K54" s="8" t="s">
        <v>306</v>
      </c>
      <c r="L54" s="10">
        <v>41</v>
      </c>
      <c r="M54" s="8">
        <v>80</v>
      </c>
      <c r="N54" s="8" t="s">
        <v>306</v>
      </c>
      <c r="O54" s="10">
        <v>48</v>
      </c>
      <c r="P54" s="8">
        <v>96</v>
      </c>
      <c r="Q54" s="8" t="s">
        <v>305</v>
      </c>
      <c r="R54" s="8" t="s">
        <v>307</v>
      </c>
      <c r="S54" s="8">
        <f t="shared" si="2"/>
        <v>441</v>
      </c>
      <c r="T54" s="11">
        <f t="shared" si="3"/>
        <v>88.2</v>
      </c>
    </row>
    <row r="55" spans="1:20" x14ac:dyDescent="0.25">
      <c r="A55" s="8">
        <v>23605930</v>
      </c>
      <c r="B55" s="9" t="s">
        <v>358</v>
      </c>
      <c r="C55" s="10">
        <v>301</v>
      </c>
      <c r="D55" s="8">
        <v>95</v>
      </c>
      <c r="E55" s="8" t="s">
        <v>305</v>
      </c>
      <c r="F55" s="10">
        <v>42</v>
      </c>
      <c r="G55" s="8">
        <v>88</v>
      </c>
      <c r="H55" s="8" t="s">
        <v>305</v>
      </c>
      <c r="I55" s="10">
        <v>43</v>
      </c>
      <c r="J55" s="8">
        <v>93</v>
      </c>
      <c r="K55" s="8" t="s">
        <v>305</v>
      </c>
      <c r="L55" s="10">
        <v>41</v>
      </c>
      <c r="M55" s="8">
        <v>63</v>
      </c>
      <c r="N55" s="8" t="s">
        <v>309</v>
      </c>
      <c r="O55" s="10">
        <v>34</v>
      </c>
      <c r="P55" s="8">
        <v>100</v>
      </c>
      <c r="Q55" s="8" t="s">
        <v>305</v>
      </c>
      <c r="R55" s="8" t="s">
        <v>307</v>
      </c>
      <c r="S55" s="8">
        <f t="shared" si="2"/>
        <v>439</v>
      </c>
      <c r="T55" s="11">
        <f t="shared" si="3"/>
        <v>87.8</v>
      </c>
    </row>
    <row r="56" spans="1:20" x14ac:dyDescent="0.25">
      <c r="A56" s="8">
        <v>23605890</v>
      </c>
      <c r="B56" s="9" t="s">
        <v>319</v>
      </c>
      <c r="C56" s="10">
        <v>301</v>
      </c>
      <c r="D56" s="8">
        <v>91</v>
      </c>
      <c r="E56" s="8" t="s">
        <v>305</v>
      </c>
      <c r="F56" s="10">
        <v>42</v>
      </c>
      <c r="G56" s="8">
        <v>92</v>
      </c>
      <c r="H56" s="8" t="s">
        <v>305</v>
      </c>
      <c r="I56" s="10">
        <v>43</v>
      </c>
      <c r="J56" s="8">
        <v>87</v>
      </c>
      <c r="K56" s="8" t="s">
        <v>306</v>
      </c>
      <c r="L56" s="10">
        <v>41</v>
      </c>
      <c r="M56" s="8">
        <v>73</v>
      </c>
      <c r="N56" s="8" t="s">
        <v>308</v>
      </c>
      <c r="O56" s="10">
        <v>48</v>
      </c>
      <c r="P56" s="8">
        <v>95</v>
      </c>
      <c r="Q56" s="8" t="s">
        <v>305</v>
      </c>
      <c r="R56" s="8" t="s">
        <v>307</v>
      </c>
      <c r="S56" s="8">
        <f t="shared" si="2"/>
        <v>438</v>
      </c>
      <c r="T56" s="11">
        <f t="shared" si="3"/>
        <v>87.6</v>
      </c>
    </row>
    <row r="57" spans="1:20" x14ac:dyDescent="0.25">
      <c r="A57" s="8">
        <v>23605911</v>
      </c>
      <c r="B57" s="9" t="s">
        <v>341</v>
      </c>
      <c r="C57" s="10">
        <v>301</v>
      </c>
      <c r="D57" s="8">
        <v>94</v>
      </c>
      <c r="E57" s="8" t="s">
        <v>305</v>
      </c>
      <c r="F57" s="10">
        <v>42</v>
      </c>
      <c r="G57" s="8">
        <v>72</v>
      </c>
      <c r="H57" s="8" t="s">
        <v>308</v>
      </c>
      <c r="I57" s="10">
        <v>43</v>
      </c>
      <c r="J57" s="8">
        <v>83</v>
      </c>
      <c r="K57" s="8" t="s">
        <v>306</v>
      </c>
      <c r="L57" s="10">
        <v>44</v>
      </c>
      <c r="M57" s="8">
        <v>95</v>
      </c>
      <c r="N57" s="8" t="s">
        <v>305</v>
      </c>
      <c r="O57" s="10">
        <v>37</v>
      </c>
      <c r="P57" s="8">
        <v>94</v>
      </c>
      <c r="Q57" s="8" t="s">
        <v>306</v>
      </c>
      <c r="R57" s="8" t="s">
        <v>307</v>
      </c>
      <c r="S57" s="8">
        <f t="shared" si="2"/>
        <v>438</v>
      </c>
      <c r="T57" s="11">
        <f t="shared" si="3"/>
        <v>87.6</v>
      </c>
    </row>
    <row r="58" spans="1:20" x14ac:dyDescent="0.25">
      <c r="A58" s="8">
        <v>23605945</v>
      </c>
      <c r="B58" s="9" t="s">
        <v>373</v>
      </c>
      <c r="C58" s="10">
        <v>301</v>
      </c>
      <c r="D58" s="8">
        <v>94</v>
      </c>
      <c r="E58" s="8" t="s">
        <v>305</v>
      </c>
      <c r="F58" s="10">
        <v>42</v>
      </c>
      <c r="G58" s="8">
        <v>93</v>
      </c>
      <c r="H58" s="8" t="s">
        <v>305</v>
      </c>
      <c r="I58" s="10">
        <v>43</v>
      </c>
      <c r="J58" s="8">
        <v>88</v>
      </c>
      <c r="K58" s="8" t="s">
        <v>306</v>
      </c>
      <c r="L58" s="10">
        <v>41</v>
      </c>
      <c r="M58" s="8">
        <v>75</v>
      </c>
      <c r="N58" s="8" t="s">
        <v>308</v>
      </c>
      <c r="O58" s="10">
        <v>83</v>
      </c>
      <c r="P58" s="8">
        <v>88</v>
      </c>
      <c r="Q58" s="8" t="s">
        <v>306</v>
      </c>
      <c r="R58" s="8" t="s">
        <v>307</v>
      </c>
      <c r="S58" s="8">
        <f t="shared" si="2"/>
        <v>438</v>
      </c>
      <c r="T58" s="11">
        <f t="shared" si="3"/>
        <v>87.6</v>
      </c>
    </row>
    <row r="59" spans="1:20" x14ac:dyDescent="0.25">
      <c r="A59" s="8">
        <v>23605952</v>
      </c>
      <c r="B59" s="9" t="s">
        <v>380</v>
      </c>
      <c r="C59" s="10">
        <v>301</v>
      </c>
      <c r="D59" s="8">
        <v>92</v>
      </c>
      <c r="E59" s="8" t="s">
        <v>305</v>
      </c>
      <c r="F59" s="10">
        <v>302</v>
      </c>
      <c r="G59" s="8">
        <v>82</v>
      </c>
      <c r="H59" s="8" t="s">
        <v>308</v>
      </c>
      <c r="I59" s="10">
        <v>42</v>
      </c>
      <c r="J59" s="8">
        <v>84</v>
      </c>
      <c r="K59" s="8" t="s">
        <v>306</v>
      </c>
      <c r="L59" s="10">
        <v>43</v>
      </c>
      <c r="M59" s="8">
        <v>91</v>
      </c>
      <c r="N59" s="8" t="s">
        <v>305</v>
      </c>
      <c r="O59" s="10">
        <v>44</v>
      </c>
      <c r="P59" s="8">
        <v>88</v>
      </c>
      <c r="Q59" s="8" t="s">
        <v>306</v>
      </c>
      <c r="R59" s="8" t="s">
        <v>307</v>
      </c>
      <c r="S59" s="8">
        <f t="shared" si="2"/>
        <v>437</v>
      </c>
      <c r="T59" s="11">
        <f t="shared" si="3"/>
        <v>87.4</v>
      </c>
    </row>
    <row r="60" spans="1:20" x14ac:dyDescent="0.25">
      <c r="A60" s="8">
        <v>23605988</v>
      </c>
      <c r="B60" s="9" t="s">
        <v>417</v>
      </c>
      <c r="C60" s="10">
        <v>301</v>
      </c>
      <c r="D60" s="8">
        <v>72</v>
      </c>
      <c r="E60" s="8" t="s">
        <v>313</v>
      </c>
      <c r="F60" s="10">
        <v>55</v>
      </c>
      <c r="G60" s="8">
        <v>88</v>
      </c>
      <c r="H60" s="8" t="s">
        <v>306</v>
      </c>
      <c r="I60" s="10">
        <v>54</v>
      </c>
      <c r="J60" s="8">
        <v>93</v>
      </c>
      <c r="K60" s="8" t="s">
        <v>305</v>
      </c>
      <c r="L60" s="10">
        <v>37</v>
      </c>
      <c r="M60" s="8">
        <v>85</v>
      </c>
      <c r="N60" s="8" t="s">
        <v>308</v>
      </c>
      <c r="O60" s="10">
        <v>30</v>
      </c>
      <c r="P60" s="8">
        <v>95</v>
      </c>
      <c r="Q60" s="8" t="s">
        <v>305</v>
      </c>
      <c r="R60" s="8" t="s">
        <v>307</v>
      </c>
      <c r="S60" s="8">
        <f t="shared" si="2"/>
        <v>433</v>
      </c>
      <c r="T60" s="11">
        <f t="shared" si="3"/>
        <v>86.6</v>
      </c>
    </row>
    <row r="61" spans="1:20" x14ac:dyDescent="0.25">
      <c r="A61" s="8">
        <v>23606009</v>
      </c>
      <c r="B61" s="9" t="s">
        <v>437</v>
      </c>
      <c r="C61" s="10">
        <v>301</v>
      </c>
      <c r="D61" s="8">
        <v>93</v>
      </c>
      <c r="E61" s="8" t="s">
        <v>305</v>
      </c>
      <c r="F61" s="10">
        <v>27</v>
      </c>
      <c r="G61" s="8">
        <v>85</v>
      </c>
      <c r="H61" s="8" t="s">
        <v>305</v>
      </c>
      <c r="I61" s="10">
        <v>29</v>
      </c>
      <c r="J61" s="8">
        <v>88</v>
      </c>
      <c r="K61" s="8" t="s">
        <v>305</v>
      </c>
      <c r="L61" s="10">
        <v>37</v>
      </c>
      <c r="M61" s="8">
        <v>91</v>
      </c>
      <c r="N61" s="8" t="s">
        <v>306</v>
      </c>
      <c r="O61" s="10">
        <v>83</v>
      </c>
      <c r="P61" s="8">
        <v>76</v>
      </c>
      <c r="Q61" s="8" t="s">
        <v>313</v>
      </c>
      <c r="R61" s="8" t="s">
        <v>307</v>
      </c>
      <c r="S61" s="8">
        <f t="shared" si="2"/>
        <v>433</v>
      </c>
      <c r="T61" s="11">
        <f t="shared" si="3"/>
        <v>86.6</v>
      </c>
    </row>
    <row r="62" spans="1:20" x14ac:dyDescent="0.25">
      <c r="A62" s="8">
        <v>23605951</v>
      </c>
      <c r="B62" s="9" t="s">
        <v>379</v>
      </c>
      <c r="C62" s="10">
        <v>301</v>
      </c>
      <c r="D62" s="8">
        <v>94</v>
      </c>
      <c r="E62" s="8" t="s">
        <v>305</v>
      </c>
      <c r="F62" s="10">
        <v>42</v>
      </c>
      <c r="G62" s="8">
        <v>91</v>
      </c>
      <c r="H62" s="8" t="s">
        <v>305</v>
      </c>
      <c r="I62" s="10">
        <v>43</v>
      </c>
      <c r="J62" s="8">
        <v>88</v>
      </c>
      <c r="K62" s="8" t="s">
        <v>306</v>
      </c>
      <c r="L62" s="10">
        <v>41</v>
      </c>
      <c r="M62" s="8">
        <v>68</v>
      </c>
      <c r="N62" s="8" t="s">
        <v>308</v>
      </c>
      <c r="O62" s="10">
        <v>30</v>
      </c>
      <c r="P62" s="8">
        <v>91</v>
      </c>
      <c r="Q62" s="8" t="s">
        <v>305</v>
      </c>
      <c r="R62" s="8" t="s">
        <v>307</v>
      </c>
      <c r="S62" s="8">
        <f t="shared" si="2"/>
        <v>432</v>
      </c>
      <c r="T62" s="11">
        <f t="shared" si="3"/>
        <v>86.4</v>
      </c>
    </row>
    <row r="63" spans="1:20" x14ac:dyDescent="0.25">
      <c r="A63" s="8">
        <v>23605907</v>
      </c>
      <c r="B63" s="9" t="s">
        <v>337</v>
      </c>
      <c r="C63" s="10">
        <v>301</v>
      </c>
      <c r="D63" s="8">
        <v>95</v>
      </c>
      <c r="E63" s="8" t="s">
        <v>305</v>
      </c>
      <c r="F63" s="10">
        <v>42</v>
      </c>
      <c r="G63" s="8">
        <v>72</v>
      </c>
      <c r="H63" s="8" t="s">
        <v>308</v>
      </c>
      <c r="I63" s="10">
        <v>43</v>
      </c>
      <c r="J63" s="8">
        <v>79</v>
      </c>
      <c r="K63" s="8" t="s">
        <v>308</v>
      </c>
      <c r="L63" s="10">
        <v>44</v>
      </c>
      <c r="M63" s="8">
        <v>94</v>
      </c>
      <c r="N63" s="8" t="s">
        <v>305</v>
      </c>
      <c r="O63" s="10">
        <v>302</v>
      </c>
      <c r="P63" s="8">
        <v>90</v>
      </c>
      <c r="Q63" s="8" t="s">
        <v>305</v>
      </c>
      <c r="R63" s="8" t="s">
        <v>307</v>
      </c>
      <c r="S63" s="8">
        <f t="shared" si="2"/>
        <v>430</v>
      </c>
      <c r="T63" s="11">
        <f t="shared" si="3"/>
        <v>86</v>
      </c>
    </row>
    <row r="64" spans="1:20" x14ac:dyDescent="0.25">
      <c r="A64" s="8">
        <v>23605932</v>
      </c>
      <c r="B64" s="9" t="s">
        <v>360</v>
      </c>
      <c r="C64" s="10">
        <v>301</v>
      </c>
      <c r="D64" s="8">
        <v>94</v>
      </c>
      <c r="E64" s="8" t="s">
        <v>305</v>
      </c>
      <c r="F64" s="10">
        <v>42</v>
      </c>
      <c r="G64" s="8">
        <v>80</v>
      </c>
      <c r="H64" s="8" t="s">
        <v>306</v>
      </c>
      <c r="I64" s="10">
        <v>43</v>
      </c>
      <c r="J64" s="8">
        <v>67</v>
      </c>
      <c r="K64" s="8" t="s">
        <v>309</v>
      </c>
      <c r="L64" s="10">
        <v>44</v>
      </c>
      <c r="M64" s="8">
        <v>93</v>
      </c>
      <c r="N64" s="8" t="s">
        <v>305</v>
      </c>
      <c r="O64" s="10">
        <v>49</v>
      </c>
      <c r="P64" s="8">
        <v>96</v>
      </c>
      <c r="Q64" s="8" t="s">
        <v>306</v>
      </c>
      <c r="R64" s="8" t="s">
        <v>307</v>
      </c>
      <c r="S64" s="8">
        <f t="shared" si="2"/>
        <v>430</v>
      </c>
      <c r="T64" s="11">
        <f t="shared" si="3"/>
        <v>86</v>
      </c>
    </row>
    <row r="65" spans="1:20" x14ac:dyDescent="0.25">
      <c r="A65" s="8">
        <v>23605936</v>
      </c>
      <c r="B65" s="9" t="s">
        <v>364</v>
      </c>
      <c r="C65" s="10">
        <v>301</v>
      </c>
      <c r="D65" s="8">
        <v>93</v>
      </c>
      <c r="E65" s="8" t="s">
        <v>305</v>
      </c>
      <c r="F65" s="10">
        <v>42</v>
      </c>
      <c r="G65" s="8">
        <v>95</v>
      </c>
      <c r="H65" s="8" t="s">
        <v>305</v>
      </c>
      <c r="I65" s="10">
        <v>43</v>
      </c>
      <c r="J65" s="8">
        <v>82</v>
      </c>
      <c r="K65" s="8" t="s">
        <v>306</v>
      </c>
      <c r="L65" s="10">
        <v>41</v>
      </c>
      <c r="M65" s="8">
        <v>65</v>
      </c>
      <c r="N65" s="8" t="s">
        <v>309</v>
      </c>
      <c r="O65" s="10">
        <v>34</v>
      </c>
      <c r="P65" s="8">
        <v>95</v>
      </c>
      <c r="Q65" s="8" t="s">
        <v>306</v>
      </c>
      <c r="R65" s="8" t="s">
        <v>307</v>
      </c>
      <c r="S65" s="8">
        <f t="shared" si="2"/>
        <v>430</v>
      </c>
      <c r="T65" s="11">
        <f t="shared" si="3"/>
        <v>86</v>
      </c>
    </row>
    <row r="66" spans="1:20" x14ac:dyDescent="0.25">
      <c r="A66" s="8">
        <v>23605977</v>
      </c>
      <c r="B66" s="9" t="s">
        <v>406</v>
      </c>
      <c r="C66" s="10">
        <v>301</v>
      </c>
      <c r="D66" s="8">
        <v>87</v>
      </c>
      <c r="E66" s="8" t="s">
        <v>306</v>
      </c>
      <c r="F66" s="10">
        <v>55</v>
      </c>
      <c r="G66" s="8">
        <v>76</v>
      </c>
      <c r="H66" s="8" t="s">
        <v>308</v>
      </c>
      <c r="I66" s="10">
        <v>54</v>
      </c>
      <c r="J66" s="8">
        <v>86</v>
      </c>
      <c r="K66" s="8" t="s">
        <v>306</v>
      </c>
      <c r="L66" s="10">
        <v>37</v>
      </c>
      <c r="M66" s="8">
        <v>92</v>
      </c>
      <c r="N66" s="8" t="s">
        <v>306</v>
      </c>
      <c r="O66" s="10">
        <v>30</v>
      </c>
      <c r="P66" s="8">
        <v>89</v>
      </c>
      <c r="Q66" s="8" t="s">
        <v>305</v>
      </c>
      <c r="R66" s="8" t="s">
        <v>307</v>
      </c>
      <c r="S66" s="8">
        <f t="shared" ref="S66:S97" si="4">D66+G66+J66+M66+P66</f>
        <v>430</v>
      </c>
      <c r="T66" s="11">
        <f t="shared" ref="T66:T97" si="5">S66/5</f>
        <v>86</v>
      </c>
    </row>
    <row r="67" spans="1:20" x14ac:dyDescent="0.25">
      <c r="A67" s="8">
        <v>23605926</v>
      </c>
      <c r="B67" s="9" t="s">
        <v>354</v>
      </c>
      <c r="C67" s="10">
        <v>301</v>
      </c>
      <c r="D67" s="8">
        <v>84</v>
      </c>
      <c r="E67" s="8" t="s">
        <v>308</v>
      </c>
      <c r="F67" s="10">
        <v>42</v>
      </c>
      <c r="G67" s="8">
        <v>93</v>
      </c>
      <c r="H67" s="8" t="s">
        <v>305</v>
      </c>
      <c r="I67" s="10">
        <v>43</v>
      </c>
      <c r="J67" s="8">
        <v>62</v>
      </c>
      <c r="K67" s="8" t="s">
        <v>313</v>
      </c>
      <c r="L67" s="10">
        <v>44</v>
      </c>
      <c r="M67" s="8">
        <v>96</v>
      </c>
      <c r="N67" s="8" t="s">
        <v>305</v>
      </c>
      <c r="O67" s="10">
        <v>37</v>
      </c>
      <c r="P67" s="8">
        <v>94</v>
      </c>
      <c r="Q67" s="8" t="s">
        <v>306</v>
      </c>
      <c r="R67" s="8" t="s">
        <v>307</v>
      </c>
      <c r="S67" s="8">
        <f t="shared" si="4"/>
        <v>429</v>
      </c>
      <c r="T67" s="11">
        <f t="shared" si="5"/>
        <v>85.8</v>
      </c>
    </row>
    <row r="68" spans="1:20" x14ac:dyDescent="0.25">
      <c r="A68" s="8">
        <v>23605998</v>
      </c>
      <c r="B68" s="9" t="s">
        <v>427</v>
      </c>
      <c r="C68" s="10">
        <v>301</v>
      </c>
      <c r="D68" s="8">
        <v>78</v>
      </c>
      <c r="E68" s="8" t="s">
        <v>309</v>
      </c>
      <c r="F68" s="10">
        <v>27</v>
      </c>
      <c r="G68" s="8">
        <v>85</v>
      </c>
      <c r="H68" s="8" t="s">
        <v>305</v>
      </c>
      <c r="I68" s="10">
        <v>29</v>
      </c>
      <c r="J68" s="8">
        <v>88</v>
      </c>
      <c r="K68" s="8" t="s">
        <v>305</v>
      </c>
      <c r="L68" s="10">
        <v>28</v>
      </c>
      <c r="M68" s="8">
        <v>94</v>
      </c>
      <c r="N68" s="8" t="s">
        <v>305</v>
      </c>
      <c r="O68" s="10">
        <v>302</v>
      </c>
      <c r="P68" s="8">
        <v>84</v>
      </c>
      <c r="Q68" s="8" t="s">
        <v>306</v>
      </c>
      <c r="R68" s="8" t="s">
        <v>307</v>
      </c>
      <c r="S68" s="8">
        <f t="shared" si="4"/>
        <v>429</v>
      </c>
      <c r="T68" s="11">
        <f t="shared" si="5"/>
        <v>85.8</v>
      </c>
    </row>
    <row r="69" spans="1:20" x14ac:dyDescent="0.25">
      <c r="A69" s="8">
        <v>23605961</v>
      </c>
      <c r="B69" s="9" t="s">
        <v>390</v>
      </c>
      <c r="C69" s="10">
        <v>301</v>
      </c>
      <c r="D69" s="8">
        <v>89</v>
      </c>
      <c r="E69" s="8" t="s">
        <v>306</v>
      </c>
      <c r="F69" s="10">
        <v>55</v>
      </c>
      <c r="G69" s="8">
        <v>79</v>
      </c>
      <c r="H69" s="8" t="s">
        <v>308</v>
      </c>
      <c r="I69" s="10">
        <v>54</v>
      </c>
      <c r="J69" s="8">
        <v>93</v>
      </c>
      <c r="K69" s="8" t="s">
        <v>305</v>
      </c>
      <c r="L69" s="10">
        <v>37</v>
      </c>
      <c r="M69" s="8">
        <v>84</v>
      </c>
      <c r="N69" s="8" t="s">
        <v>308</v>
      </c>
      <c r="O69" s="10">
        <v>30</v>
      </c>
      <c r="P69" s="8">
        <v>83</v>
      </c>
      <c r="Q69" s="8" t="s">
        <v>306</v>
      </c>
      <c r="R69" s="8" t="s">
        <v>307</v>
      </c>
      <c r="S69" s="8">
        <f t="shared" si="4"/>
        <v>428</v>
      </c>
      <c r="T69" s="11">
        <f t="shared" si="5"/>
        <v>85.6</v>
      </c>
    </row>
    <row r="70" spans="1:20" x14ac:dyDescent="0.25">
      <c r="A70" s="8">
        <v>23606007</v>
      </c>
      <c r="B70" s="9" t="s">
        <v>435</v>
      </c>
      <c r="C70" s="10">
        <v>301</v>
      </c>
      <c r="D70" s="8">
        <v>83</v>
      </c>
      <c r="E70" s="8" t="s">
        <v>308</v>
      </c>
      <c r="F70" s="10">
        <v>27</v>
      </c>
      <c r="G70" s="8">
        <v>96</v>
      </c>
      <c r="H70" s="8" t="s">
        <v>305</v>
      </c>
      <c r="I70" s="10">
        <v>29</v>
      </c>
      <c r="J70" s="8">
        <v>93</v>
      </c>
      <c r="K70" s="8" t="s">
        <v>305</v>
      </c>
      <c r="L70" s="10">
        <v>28</v>
      </c>
      <c r="M70" s="8">
        <v>91</v>
      </c>
      <c r="N70" s="8" t="s">
        <v>305</v>
      </c>
      <c r="O70" s="10">
        <v>37</v>
      </c>
      <c r="P70" s="8">
        <v>65</v>
      </c>
      <c r="Q70" s="8" t="s">
        <v>312</v>
      </c>
      <c r="R70" s="8" t="s">
        <v>307</v>
      </c>
      <c r="S70" s="8">
        <f t="shared" si="4"/>
        <v>428</v>
      </c>
      <c r="T70" s="11">
        <f t="shared" si="5"/>
        <v>85.6</v>
      </c>
    </row>
    <row r="71" spans="1:20" x14ac:dyDescent="0.25">
      <c r="A71" s="8">
        <v>23605950</v>
      </c>
      <c r="B71" s="9" t="s">
        <v>378</v>
      </c>
      <c r="C71" s="10">
        <v>301</v>
      </c>
      <c r="D71" s="8">
        <v>93</v>
      </c>
      <c r="E71" s="8" t="s">
        <v>305</v>
      </c>
      <c r="F71" s="10">
        <v>42</v>
      </c>
      <c r="G71" s="8">
        <v>82</v>
      </c>
      <c r="H71" s="8" t="s">
        <v>306</v>
      </c>
      <c r="I71" s="10">
        <v>43</v>
      </c>
      <c r="J71" s="8">
        <v>93</v>
      </c>
      <c r="K71" s="8" t="s">
        <v>305</v>
      </c>
      <c r="L71" s="10">
        <v>41</v>
      </c>
      <c r="M71" s="8">
        <v>63</v>
      </c>
      <c r="N71" s="8" t="s">
        <v>309</v>
      </c>
      <c r="O71" s="10">
        <v>48</v>
      </c>
      <c r="P71" s="8">
        <v>95</v>
      </c>
      <c r="Q71" s="8" t="s">
        <v>305</v>
      </c>
      <c r="R71" s="8" t="s">
        <v>307</v>
      </c>
      <c r="S71" s="8">
        <f t="shared" si="4"/>
        <v>426</v>
      </c>
      <c r="T71" s="11">
        <f t="shared" si="5"/>
        <v>85.2</v>
      </c>
    </row>
    <row r="72" spans="1:20" x14ac:dyDescent="0.25">
      <c r="A72" s="8">
        <v>23605899</v>
      </c>
      <c r="B72" s="9" t="s">
        <v>329</v>
      </c>
      <c r="C72" s="10">
        <v>301</v>
      </c>
      <c r="D72" s="8">
        <v>93</v>
      </c>
      <c r="E72" s="8" t="s">
        <v>305</v>
      </c>
      <c r="F72" s="10">
        <v>42</v>
      </c>
      <c r="G72" s="8">
        <v>91</v>
      </c>
      <c r="H72" s="8" t="s">
        <v>305</v>
      </c>
      <c r="I72" s="10">
        <v>43</v>
      </c>
      <c r="J72" s="8">
        <v>77</v>
      </c>
      <c r="K72" s="8" t="s">
        <v>308</v>
      </c>
      <c r="L72" s="10">
        <v>41</v>
      </c>
      <c r="M72" s="8">
        <v>65</v>
      </c>
      <c r="N72" s="8" t="s">
        <v>309</v>
      </c>
      <c r="O72" s="10">
        <v>36</v>
      </c>
      <c r="P72" s="8">
        <v>98</v>
      </c>
      <c r="Q72" s="8" t="s">
        <v>305</v>
      </c>
      <c r="R72" s="8" t="s">
        <v>307</v>
      </c>
      <c r="S72" s="8">
        <f t="shared" si="4"/>
        <v>424</v>
      </c>
      <c r="T72" s="11">
        <f t="shared" si="5"/>
        <v>84.8</v>
      </c>
    </row>
    <row r="73" spans="1:20" x14ac:dyDescent="0.25">
      <c r="A73" s="8">
        <v>23605957</v>
      </c>
      <c r="B73" s="9" t="s">
        <v>385</v>
      </c>
      <c r="C73" s="10">
        <v>301</v>
      </c>
      <c r="D73" s="8">
        <v>96</v>
      </c>
      <c r="E73" s="8" t="s">
        <v>305</v>
      </c>
      <c r="F73" s="10">
        <v>42</v>
      </c>
      <c r="G73" s="8">
        <v>78</v>
      </c>
      <c r="H73" s="8" t="s">
        <v>306</v>
      </c>
      <c r="I73" s="10">
        <v>43</v>
      </c>
      <c r="J73" s="8">
        <v>95</v>
      </c>
      <c r="K73" s="8" t="s">
        <v>305</v>
      </c>
      <c r="L73" s="10">
        <v>41</v>
      </c>
      <c r="M73" s="8">
        <v>63</v>
      </c>
      <c r="N73" s="8" t="s">
        <v>309</v>
      </c>
      <c r="O73" s="10">
        <v>83</v>
      </c>
      <c r="P73" s="8">
        <v>91</v>
      </c>
      <c r="Q73" s="8" t="s">
        <v>306</v>
      </c>
      <c r="R73" s="8" t="s">
        <v>307</v>
      </c>
      <c r="S73" s="8">
        <f t="shared" si="4"/>
        <v>423</v>
      </c>
      <c r="T73" s="11">
        <f t="shared" si="5"/>
        <v>84.6</v>
      </c>
    </row>
    <row r="74" spans="1:20" x14ac:dyDescent="0.25">
      <c r="A74" s="8">
        <v>23605972</v>
      </c>
      <c r="B74" s="9" t="s">
        <v>401</v>
      </c>
      <c r="C74" s="10">
        <v>301</v>
      </c>
      <c r="D74" s="8">
        <v>97</v>
      </c>
      <c r="E74" s="8" t="s">
        <v>305</v>
      </c>
      <c r="F74" s="10">
        <v>55</v>
      </c>
      <c r="G74" s="8">
        <v>59</v>
      </c>
      <c r="H74" s="8" t="s">
        <v>313</v>
      </c>
      <c r="I74" s="10">
        <v>54</v>
      </c>
      <c r="J74" s="8">
        <v>96</v>
      </c>
      <c r="K74" s="8" t="s">
        <v>305</v>
      </c>
      <c r="L74" s="10">
        <v>37</v>
      </c>
      <c r="M74" s="8">
        <v>82</v>
      </c>
      <c r="N74" s="8" t="s">
        <v>309</v>
      </c>
      <c r="O74" s="10">
        <v>30</v>
      </c>
      <c r="P74" s="8">
        <v>89</v>
      </c>
      <c r="Q74" s="8" t="s">
        <v>305</v>
      </c>
      <c r="R74" s="8" t="s">
        <v>307</v>
      </c>
      <c r="S74" s="8">
        <f t="shared" si="4"/>
        <v>423</v>
      </c>
      <c r="T74" s="11">
        <f t="shared" si="5"/>
        <v>84.6</v>
      </c>
    </row>
    <row r="75" spans="1:20" x14ac:dyDescent="0.25">
      <c r="A75" s="8">
        <v>23605962</v>
      </c>
      <c r="B75" s="9" t="s">
        <v>391</v>
      </c>
      <c r="C75" s="10">
        <v>301</v>
      </c>
      <c r="D75" s="8">
        <v>83</v>
      </c>
      <c r="E75" s="8" t="s">
        <v>308</v>
      </c>
      <c r="F75" s="10">
        <v>55</v>
      </c>
      <c r="G75" s="8">
        <v>95</v>
      </c>
      <c r="H75" s="8" t="s">
        <v>305</v>
      </c>
      <c r="I75" s="10">
        <v>54</v>
      </c>
      <c r="J75" s="8">
        <v>90</v>
      </c>
      <c r="K75" s="8" t="s">
        <v>305</v>
      </c>
      <c r="L75" s="10">
        <v>41</v>
      </c>
      <c r="M75" s="8">
        <v>62</v>
      </c>
      <c r="N75" s="8" t="s">
        <v>309</v>
      </c>
      <c r="O75" s="10">
        <v>30</v>
      </c>
      <c r="P75" s="8">
        <v>92</v>
      </c>
      <c r="Q75" s="8" t="s">
        <v>305</v>
      </c>
      <c r="R75" s="8" t="s">
        <v>307</v>
      </c>
      <c r="S75" s="8">
        <f t="shared" si="4"/>
        <v>422</v>
      </c>
      <c r="T75" s="11">
        <f t="shared" si="5"/>
        <v>84.4</v>
      </c>
    </row>
    <row r="76" spans="1:20" x14ac:dyDescent="0.25">
      <c r="A76" s="8">
        <v>23606013</v>
      </c>
      <c r="B76" s="9" t="s">
        <v>441</v>
      </c>
      <c r="C76" s="10">
        <v>301</v>
      </c>
      <c r="D76" s="8">
        <v>83</v>
      </c>
      <c r="E76" s="8" t="s">
        <v>308</v>
      </c>
      <c r="F76" s="10">
        <v>27</v>
      </c>
      <c r="G76" s="8">
        <v>74</v>
      </c>
      <c r="H76" s="8" t="s">
        <v>308</v>
      </c>
      <c r="I76" s="10">
        <v>29</v>
      </c>
      <c r="J76" s="8">
        <v>84</v>
      </c>
      <c r="K76" s="8" t="s">
        <v>306</v>
      </c>
      <c r="L76" s="10">
        <v>30</v>
      </c>
      <c r="M76" s="8">
        <v>83</v>
      </c>
      <c r="N76" s="8" t="s">
        <v>306</v>
      </c>
      <c r="O76" s="10">
        <v>49</v>
      </c>
      <c r="P76" s="8">
        <v>97</v>
      </c>
      <c r="Q76" s="8" t="s">
        <v>305</v>
      </c>
      <c r="R76" s="8" t="s">
        <v>307</v>
      </c>
      <c r="S76" s="8">
        <f t="shared" si="4"/>
        <v>421</v>
      </c>
      <c r="T76" s="11">
        <f t="shared" si="5"/>
        <v>84.2</v>
      </c>
    </row>
    <row r="77" spans="1:20" x14ac:dyDescent="0.25">
      <c r="A77" s="8">
        <v>23605944</v>
      </c>
      <c r="B77" s="9" t="s">
        <v>372</v>
      </c>
      <c r="C77" s="10">
        <v>301</v>
      </c>
      <c r="D77" s="8">
        <v>86</v>
      </c>
      <c r="E77" s="8" t="s">
        <v>306</v>
      </c>
      <c r="F77" s="10">
        <v>42</v>
      </c>
      <c r="G77" s="8">
        <v>85</v>
      </c>
      <c r="H77" s="8" t="s">
        <v>306</v>
      </c>
      <c r="I77" s="10">
        <v>43</v>
      </c>
      <c r="J77" s="8">
        <v>75</v>
      </c>
      <c r="K77" s="8" t="s">
        <v>308</v>
      </c>
      <c r="L77" s="10">
        <v>41</v>
      </c>
      <c r="M77" s="8">
        <v>79</v>
      </c>
      <c r="N77" s="8" t="s">
        <v>306</v>
      </c>
      <c r="O77" s="10">
        <v>34</v>
      </c>
      <c r="P77" s="8">
        <v>89</v>
      </c>
      <c r="Q77" s="8" t="s">
        <v>313</v>
      </c>
      <c r="R77" s="8" t="s">
        <v>307</v>
      </c>
      <c r="S77" s="8">
        <f t="shared" si="4"/>
        <v>414</v>
      </c>
      <c r="T77" s="11">
        <f t="shared" si="5"/>
        <v>82.8</v>
      </c>
    </row>
    <row r="78" spans="1:20" x14ac:dyDescent="0.25">
      <c r="A78" s="8">
        <v>23606011</v>
      </c>
      <c r="B78" s="9" t="s">
        <v>439</v>
      </c>
      <c r="C78" s="10">
        <v>301</v>
      </c>
      <c r="D78" s="8">
        <v>88</v>
      </c>
      <c r="E78" s="8" t="s">
        <v>306</v>
      </c>
      <c r="F78" s="10">
        <v>27</v>
      </c>
      <c r="G78" s="8">
        <v>77</v>
      </c>
      <c r="H78" s="8" t="s">
        <v>306</v>
      </c>
      <c r="I78" s="10">
        <v>29</v>
      </c>
      <c r="J78" s="8">
        <v>81</v>
      </c>
      <c r="K78" s="8" t="s">
        <v>306</v>
      </c>
      <c r="L78" s="10">
        <v>37</v>
      </c>
      <c r="M78" s="8">
        <v>82</v>
      </c>
      <c r="N78" s="8" t="s">
        <v>309</v>
      </c>
      <c r="O78" s="10">
        <v>48</v>
      </c>
      <c r="P78" s="8">
        <v>86</v>
      </c>
      <c r="Q78" s="8" t="s">
        <v>306</v>
      </c>
      <c r="R78" s="8" t="s">
        <v>307</v>
      </c>
      <c r="S78" s="8">
        <f t="shared" si="4"/>
        <v>414</v>
      </c>
      <c r="T78" s="11">
        <f t="shared" si="5"/>
        <v>82.8</v>
      </c>
    </row>
    <row r="79" spans="1:20" x14ac:dyDescent="0.25">
      <c r="A79" s="8">
        <v>23605905</v>
      </c>
      <c r="B79" s="9" t="s">
        <v>335</v>
      </c>
      <c r="C79" s="10">
        <v>301</v>
      </c>
      <c r="D79" s="8">
        <v>92</v>
      </c>
      <c r="E79" s="8" t="s">
        <v>305</v>
      </c>
      <c r="F79" s="10">
        <v>42</v>
      </c>
      <c r="G79" s="8">
        <v>91</v>
      </c>
      <c r="H79" s="8" t="s">
        <v>305</v>
      </c>
      <c r="I79" s="10">
        <v>43</v>
      </c>
      <c r="J79" s="8">
        <v>83</v>
      </c>
      <c r="K79" s="8" t="s">
        <v>306</v>
      </c>
      <c r="L79" s="10">
        <v>41</v>
      </c>
      <c r="M79" s="8">
        <v>62</v>
      </c>
      <c r="N79" s="8" t="s">
        <v>309</v>
      </c>
      <c r="O79" s="10">
        <v>83</v>
      </c>
      <c r="P79" s="8">
        <v>83</v>
      </c>
      <c r="Q79" s="8" t="s">
        <v>308</v>
      </c>
      <c r="R79" s="8" t="s">
        <v>307</v>
      </c>
      <c r="S79" s="8">
        <f t="shared" si="4"/>
        <v>411</v>
      </c>
      <c r="T79" s="11">
        <f t="shared" si="5"/>
        <v>82.2</v>
      </c>
    </row>
    <row r="80" spans="1:20" x14ac:dyDescent="0.25">
      <c r="A80" s="8">
        <v>23605923</v>
      </c>
      <c r="B80" s="9" t="s">
        <v>352</v>
      </c>
      <c r="C80" s="10">
        <v>301</v>
      </c>
      <c r="D80" s="8">
        <v>86</v>
      </c>
      <c r="E80" s="8" t="s">
        <v>306</v>
      </c>
      <c r="F80" s="10">
        <v>42</v>
      </c>
      <c r="G80" s="8">
        <v>79</v>
      </c>
      <c r="H80" s="8" t="s">
        <v>306</v>
      </c>
      <c r="I80" s="10">
        <v>43</v>
      </c>
      <c r="J80" s="8">
        <v>70</v>
      </c>
      <c r="K80" s="8" t="s">
        <v>309</v>
      </c>
      <c r="L80" s="10">
        <v>44</v>
      </c>
      <c r="M80" s="8">
        <v>82</v>
      </c>
      <c r="N80" s="8" t="s">
        <v>308</v>
      </c>
      <c r="O80" s="10">
        <v>37</v>
      </c>
      <c r="P80" s="8">
        <v>94</v>
      </c>
      <c r="Q80" s="8" t="s">
        <v>306</v>
      </c>
      <c r="R80" s="8" t="s">
        <v>307</v>
      </c>
      <c r="S80" s="8">
        <f t="shared" si="4"/>
        <v>411</v>
      </c>
      <c r="T80" s="11">
        <f t="shared" si="5"/>
        <v>82.2</v>
      </c>
    </row>
    <row r="81" spans="1:20" x14ac:dyDescent="0.25">
      <c r="A81" s="8">
        <v>23605985</v>
      </c>
      <c r="B81" s="9" t="s">
        <v>414</v>
      </c>
      <c r="C81" s="10">
        <v>301</v>
      </c>
      <c r="D81" s="8">
        <v>86</v>
      </c>
      <c r="E81" s="8" t="s">
        <v>306</v>
      </c>
      <c r="F81" s="10">
        <v>55</v>
      </c>
      <c r="G81" s="8">
        <v>62</v>
      </c>
      <c r="H81" s="8" t="s">
        <v>309</v>
      </c>
      <c r="I81" s="10">
        <v>54</v>
      </c>
      <c r="J81" s="8">
        <v>91</v>
      </c>
      <c r="K81" s="8" t="s">
        <v>305</v>
      </c>
      <c r="L81" s="10">
        <v>37</v>
      </c>
      <c r="M81" s="8">
        <v>83</v>
      </c>
      <c r="N81" s="8" t="s">
        <v>308</v>
      </c>
      <c r="O81" s="10">
        <v>30</v>
      </c>
      <c r="P81" s="8">
        <v>88</v>
      </c>
      <c r="Q81" s="8" t="s">
        <v>306</v>
      </c>
      <c r="R81" s="8" t="s">
        <v>307</v>
      </c>
      <c r="S81" s="8">
        <f t="shared" si="4"/>
        <v>410</v>
      </c>
      <c r="T81" s="11">
        <f t="shared" si="5"/>
        <v>82</v>
      </c>
    </row>
    <row r="82" spans="1:20" x14ac:dyDescent="0.25">
      <c r="A82" s="8">
        <v>23605906</v>
      </c>
      <c r="B82" s="9" t="s">
        <v>336</v>
      </c>
      <c r="C82" s="10">
        <v>301</v>
      </c>
      <c r="D82" s="8">
        <v>86</v>
      </c>
      <c r="E82" s="8" t="s">
        <v>306</v>
      </c>
      <c r="F82" s="10">
        <v>42</v>
      </c>
      <c r="G82" s="8">
        <v>67</v>
      </c>
      <c r="H82" s="8" t="s">
        <v>309</v>
      </c>
      <c r="I82" s="10">
        <v>43</v>
      </c>
      <c r="J82" s="8">
        <v>72</v>
      </c>
      <c r="K82" s="8" t="s">
        <v>308</v>
      </c>
      <c r="L82" s="10">
        <v>44</v>
      </c>
      <c r="M82" s="8">
        <v>90</v>
      </c>
      <c r="N82" s="8" t="s">
        <v>306</v>
      </c>
      <c r="O82" s="10">
        <v>302</v>
      </c>
      <c r="P82" s="8">
        <v>94</v>
      </c>
      <c r="Q82" s="8" t="s">
        <v>305</v>
      </c>
      <c r="R82" s="8" t="s">
        <v>307</v>
      </c>
      <c r="S82" s="8">
        <f t="shared" si="4"/>
        <v>409</v>
      </c>
      <c r="T82" s="11">
        <f t="shared" si="5"/>
        <v>81.8</v>
      </c>
    </row>
    <row r="83" spans="1:20" x14ac:dyDescent="0.25">
      <c r="A83" s="8">
        <v>23605975</v>
      </c>
      <c r="B83" s="9" t="s">
        <v>404</v>
      </c>
      <c r="C83" s="10">
        <v>301</v>
      </c>
      <c r="D83" s="8">
        <v>84</v>
      </c>
      <c r="E83" s="8" t="s">
        <v>308</v>
      </c>
      <c r="F83" s="10">
        <v>55</v>
      </c>
      <c r="G83" s="8">
        <v>67</v>
      </c>
      <c r="H83" s="8" t="s">
        <v>309</v>
      </c>
      <c r="I83" s="10">
        <v>54</v>
      </c>
      <c r="J83" s="8">
        <v>88</v>
      </c>
      <c r="K83" s="8" t="s">
        <v>306</v>
      </c>
      <c r="L83" s="10">
        <v>37</v>
      </c>
      <c r="M83" s="8">
        <v>77</v>
      </c>
      <c r="N83" s="8" t="s">
        <v>309</v>
      </c>
      <c r="O83" s="10">
        <v>30</v>
      </c>
      <c r="P83" s="8">
        <v>90</v>
      </c>
      <c r="Q83" s="8" t="s">
        <v>305</v>
      </c>
      <c r="R83" s="8" t="s">
        <v>307</v>
      </c>
      <c r="S83" s="8">
        <f t="shared" si="4"/>
        <v>406</v>
      </c>
      <c r="T83" s="11">
        <f t="shared" si="5"/>
        <v>81.2</v>
      </c>
    </row>
    <row r="84" spans="1:20" x14ac:dyDescent="0.25">
      <c r="A84" s="8">
        <v>23605928</v>
      </c>
      <c r="B84" s="9" t="s">
        <v>356</v>
      </c>
      <c r="C84" s="10">
        <v>301</v>
      </c>
      <c r="D84" s="8">
        <v>82</v>
      </c>
      <c r="E84" s="8" t="s">
        <v>308</v>
      </c>
      <c r="F84" s="10">
        <v>42</v>
      </c>
      <c r="G84" s="8">
        <v>83</v>
      </c>
      <c r="H84" s="8" t="s">
        <v>306</v>
      </c>
      <c r="I84" s="10">
        <v>43</v>
      </c>
      <c r="J84" s="8">
        <v>74</v>
      </c>
      <c r="K84" s="8" t="s">
        <v>308</v>
      </c>
      <c r="L84" s="10">
        <v>44</v>
      </c>
      <c r="M84" s="8">
        <v>90</v>
      </c>
      <c r="N84" s="8" t="s">
        <v>306</v>
      </c>
      <c r="O84" s="10">
        <v>37</v>
      </c>
      <c r="P84" s="8">
        <v>76</v>
      </c>
      <c r="Q84" s="8" t="s">
        <v>309</v>
      </c>
      <c r="R84" s="8" t="s">
        <v>307</v>
      </c>
      <c r="S84" s="8">
        <f t="shared" si="4"/>
        <v>405</v>
      </c>
      <c r="T84" s="11">
        <f t="shared" si="5"/>
        <v>81</v>
      </c>
    </row>
    <row r="85" spans="1:20" x14ac:dyDescent="0.25">
      <c r="A85" s="8">
        <v>23605999</v>
      </c>
      <c r="B85" s="9" t="s">
        <v>428</v>
      </c>
      <c r="C85" s="10">
        <v>301</v>
      </c>
      <c r="D85" s="8">
        <v>87</v>
      </c>
      <c r="E85" s="8" t="s">
        <v>306</v>
      </c>
      <c r="F85" s="10">
        <v>27</v>
      </c>
      <c r="G85" s="8">
        <v>85</v>
      </c>
      <c r="H85" s="8" t="s">
        <v>305</v>
      </c>
      <c r="I85" s="10">
        <v>29</v>
      </c>
      <c r="J85" s="8">
        <v>80</v>
      </c>
      <c r="K85" s="8" t="s">
        <v>306</v>
      </c>
      <c r="L85" s="10">
        <v>37</v>
      </c>
      <c r="M85" s="8">
        <v>75</v>
      </c>
      <c r="N85" s="8" t="s">
        <v>313</v>
      </c>
      <c r="O85" s="10">
        <v>30</v>
      </c>
      <c r="P85" s="8">
        <v>76</v>
      </c>
      <c r="Q85" s="8" t="s">
        <v>308</v>
      </c>
      <c r="R85" s="8" t="s">
        <v>307</v>
      </c>
      <c r="S85" s="8">
        <f t="shared" si="4"/>
        <v>403</v>
      </c>
      <c r="T85" s="11">
        <f t="shared" si="5"/>
        <v>80.599999999999994</v>
      </c>
    </row>
    <row r="86" spans="1:20" x14ac:dyDescent="0.25">
      <c r="A86" s="8">
        <v>23605891</v>
      </c>
      <c r="B86" s="9" t="s">
        <v>320</v>
      </c>
      <c r="C86" s="10">
        <v>301</v>
      </c>
      <c r="D86" s="8">
        <v>94</v>
      </c>
      <c r="E86" s="8" t="s">
        <v>305</v>
      </c>
      <c r="F86" s="10">
        <v>42</v>
      </c>
      <c r="G86" s="8">
        <v>75</v>
      </c>
      <c r="H86" s="8" t="s">
        <v>308</v>
      </c>
      <c r="I86" s="10">
        <v>43</v>
      </c>
      <c r="J86" s="8">
        <v>68</v>
      </c>
      <c r="K86" s="8" t="s">
        <v>309</v>
      </c>
      <c r="L86" s="10">
        <v>41</v>
      </c>
      <c r="M86" s="8">
        <v>67</v>
      </c>
      <c r="N86" s="8" t="s">
        <v>308</v>
      </c>
      <c r="O86" s="10">
        <v>34</v>
      </c>
      <c r="P86" s="8">
        <v>98</v>
      </c>
      <c r="Q86" s="8" t="s">
        <v>305</v>
      </c>
      <c r="R86" s="8" t="s">
        <v>307</v>
      </c>
      <c r="S86" s="8">
        <f t="shared" si="4"/>
        <v>402</v>
      </c>
      <c r="T86" s="11">
        <f t="shared" si="5"/>
        <v>80.400000000000006</v>
      </c>
    </row>
    <row r="87" spans="1:20" x14ac:dyDescent="0.25">
      <c r="A87" s="8">
        <v>23606025</v>
      </c>
      <c r="B87" s="9" t="s">
        <v>452</v>
      </c>
      <c r="C87" s="10">
        <v>301</v>
      </c>
      <c r="D87" s="8">
        <v>73</v>
      </c>
      <c r="E87" s="8" t="s">
        <v>313</v>
      </c>
      <c r="F87" s="10">
        <v>27</v>
      </c>
      <c r="G87" s="8">
        <v>91</v>
      </c>
      <c r="H87" s="8" t="s">
        <v>305</v>
      </c>
      <c r="I87" s="10">
        <v>29</v>
      </c>
      <c r="J87" s="8">
        <v>90</v>
      </c>
      <c r="K87" s="8" t="s">
        <v>305</v>
      </c>
      <c r="L87" s="10">
        <v>41</v>
      </c>
      <c r="M87" s="8">
        <v>61</v>
      </c>
      <c r="N87" s="8" t="s">
        <v>309</v>
      </c>
      <c r="O87" s="10">
        <v>30</v>
      </c>
      <c r="P87" s="8">
        <v>87</v>
      </c>
      <c r="Q87" s="8" t="s">
        <v>306</v>
      </c>
      <c r="R87" s="8" t="s">
        <v>307</v>
      </c>
      <c r="S87" s="8">
        <f t="shared" si="4"/>
        <v>402</v>
      </c>
      <c r="T87" s="11">
        <f t="shared" si="5"/>
        <v>80.400000000000006</v>
      </c>
    </row>
    <row r="88" spans="1:20" x14ac:dyDescent="0.25">
      <c r="A88" s="8">
        <v>23605933</v>
      </c>
      <c r="B88" s="9" t="s">
        <v>361</v>
      </c>
      <c r="C88" s="10">
        <v>301</v>
      </c>
      <c r="D88" s="8">
        <v>90</v>
      </c>
      <c r="E88" s="8" t="s">
        <v>306</v>
      </c>
      <c r="F88" s="10">
        <v>42</v>
      </c>
      <c r="G88" s="8">
        <v>78</v>
      </c>
      <c r="H88" s="8" t="s">
        <v>306</v>
      </c>
      <c r="I88" s="10">
        <v>43</v>
      </c>
      <c r="J88" s="8">
        <v>59</v>
      </c>
      <c r="K88" s="8" t="s">
        <v>312</v>
      </c>
      <c r="L88" s="10">
        <v>44</v>
      </c>
      <c r="M88" s="8">
        <v>81</v>
      </c>
      <c r="N88" s="8" t="s">
        <v>308</v>
      </c>
      <c r="O88" s="10">
        <v>37</v>
      </c>
      <c r="P88" s="8">
        <v>92</v>
      </c>
      <c r="Q88" s="8" t="s">
        <v>306</v>
      </c>
      <c r="R88" s="8" t="s">
        <v>307</v>
      </c>
      <c r="S88" s="8">
        <f t="shared" si="4"/>
        <v>400</v>
      </c>
      <c r="T88" s="11">
        <f t="shared" si="5"/>
        <v>80</v>
      </c>
    </row>
    <row r="89" spans="1:20" x14ac:dyDescent="0.25">
      <c r="A89" s="8">
        <v>23605941</v>
      </c>
      <c r="B89" s="9" t="s">
        <v>369</v>
      </c>
      <c r="C89" s="10">
        <v>301</v>
      </c>
      <c r="D89" s="8">
        <v>91</v>
      </c>
      <c r="E89" s="8" t="s">
        <v>305</v>
      </c>
      <c r="F89" s="10">
        <v>42</v>
      </c>
      <c r="G89" s="8">
        <v>74</v>
      </c>
      <c r="H89" s="8" t="s">
        <v>308</v>
      </c>
      <c r="I89" s="10">
        <v>43</v>
      </c>
      <c r="J89" s="8">
        <v>72</v>
      </c>
      <c r="K89" s="8" t="s">
        <v>308</v>
      </c>
      <c r="L89" s="10">
        <v>44</v>
      </c>
      <c r="M89" s="8">
        <v>94</v>
      </c>
      <c r="N89" s="8" t="s">
        <v>305</v>
      </c>
      <c r="O89" s="10">
        <v>37</v>
      </c>
      <c r="P89" s="8">
        <v>69</v>
      </c>
      <c r="Q89" s="8" t="s">
        <v>313</v>
      </c>
      <c r="R89" s="8" t="s">
        <v>307</v>
      </c>
      <c r="S89" s="8">
        <f t="shared" si="4"/>
        <v>400</v>
      </c>
      <c r="T89" s="11">
        <f t="shared" si="5"/>
        <v>80</v>
      </c>
    </row>
    <row r="90" spans="1:20" x14ac:dyDescent="0.25">
      <c r="A90" s="8">
        <v>23605948</v>
      </c>
      <c r="B90" s="9" t="s">
        <v>376</v>
      </c>
      <c r="C90" s="10">
        <v>301</v>
      </c>
      <c r="D90" s="8">
        <v>90</v>
      </c>
      <c r="E90" s="8" t="s">
        <v>306</v>
      </c>
      <c r="F90" s="10">
        <v>42</v>
      </c>
      <c r="G90" s="8">
        <v>85</v>
      </c>
      <c r="H90" s="8" t="s">
        <v>306</v>
      </c>
      <c r="I90" s="10">
        <v>43</v>
      </c>
      <c r="J90" s="8">
        <v>73</v>
      </c>
      <c r="K90" s="8" t="s">
        <v>308</v>
      </c>
      <c r="L90" s="10">
        <v>41</v>
      </c>
      <c r="M90" s="8">
        <v>61</v>
      </c>
      <c r="N90" s="8" t="s">
        <v>309</v>
      </c>
      <c r="O90" s="10">
        <v>83</v>
      </c>
      <c r="P90" s="8">
        <v>91</v>
      </c>
      <c r="Q90" s="8" t="s">
        <v>306</v>
      </c>
      <c r="R90" s="8" t="s">
        <v>307</v>
      </c>
      <c r="S90" s="8">
        <f t="shared" si="4"/>
        <v>400</v>
      </c>
      <c r="T90" s="11">
        <f t="shared" si="5"/>
        <v>80</v>
      </c>
    </row>
    <row r="91" spans="1:20" x14ac:dyDescent="0.25">
      <c r="A91" s="8">
        <v>23605908</v>
      </c>
      <c r="B91" s="9" t="s">
        <v>338</v>
      </c>
      <c r="C91" s="10">
        <v>301</v>
      </c>
      <c r="D91" s="8">
        <v>83</v>
      </c>
      <c r="E91" s="8" t="s">
        <v>308</v>
      </c>
      <c r="F91" s="10">
        <v>42</v>
      </c>
      <c r="G91" s="8">
        <v>79</v>
      </c>
      <c r="H91" s="8" t="s">
        <v>306</v>
      </c>
      <c r="I91" s="10">
        <v>43</v>
      </c>
      <c r="J91" s="8">
        <v>74</v>
      </c>
      <c r="K91" s="8" t="s">
        <v>308</v>
      </c>
      <c r="L91" s="10">
        <v>41</v>
      </c>
      <c r="M91" s="8">
        <v>66</v>
      </c>
      <c r="N91" s="8" t="s">
        <v>309</v>
      </c>
      <c r="O91" s="10">
        <v>36</v>
      </c>
      <c r="P91" s="8">
        <v>97</v>
      </c>
      <c r="Q91" s="8" t="s">
        <v>306</v>
      </c>
      <c r="R91" s="8" t="s">
        <v>307</v>
      </c>
      <c r="S91" s="8">
        <f t="shared" si="4"/>
        <v>399</v>
      </c>
      <c r="T91" s="11">
        <f t="shared" si="5"/>
        <v>79.8</v>
      </c>
    </row>
    <row r="92" spans="1:20" x14ac:dyDescent="0.25">
      <c r="A92" s="8">
        <v>23605955</v>
      </c>
      <c r="B92" s="9" t="s">
        <v>383</v>
      </c>
      <c r="C92" s="10">
        <v>301</v>
      </c>
      <c r="D92" s="8">
        <v>95</v>
      </c>
      <c r="E92" s="8" t="s">
        <v>305</v>
      </c>
      <c r="F92" s="10">
        <v>42</v>
      </c>
      <c r="G92" s="8">
        <v>82</v>
      </c>
      <c r="H92" s="8" t="s">
        <v>306</v>
      </c>
      <c r="I92" s="10">
        <v>43</v>
      </c>
      <c r="J92" s="8">
        <v>63</v>
      </c>
      <c r="K92" s="8" t="s">
        <v>313</v>
      </c>
      <c r="L92" s="10">
        <v>41</v>
      </c>
      <c r="M92" s="8">
        <v>60</v>
      </c>
      <c r="N92" s="8" t="s">
        <v>309</v>
      </c>
      <c r="O92" s="10">
        <v>34</v>
      </c>
      <c r="P92" s="8">
        <v>99</v>
      </c>
      <c r="Q92" s="8" t="s">
        <v>305</v>
      </c>
      <c r="R92" s="8" t="s">
        <v>307</v>
      </c>
      <c r="S92" s="8">
        <f t="shared" si="4"/>
        <v>399</v>
      </c>
      <c r="T92" s="11">
        <f t="shared" si="5"/>
        <v>79.8</v>
      </c>
    </row>
    <row r="93" spans="1:20" x14ac:dyDescent="0.25">
      <c r="A93" s="8">
        <v>23605960</v>
      </c>
      <c r="B93" s="9" t="s">
        <v>389</v>
      </c>
      <c r="C93" s="10">
        <v>301</v>
      </c>
      <c r="D93" s="8">
        <v>90</v>
      </c>
      <c r="E93" s="8" t="s">
        <v>306</v>
      </c>
      <c r="F93" s="10">
        <v>55</v>
      </c>
      <c r="G93" s="8">
        <v>58</v>
      </c>
      <c r="H93" s="8" t="s">
        <v>313</v>
      </c>
      <c r="I93" s="10">
        <v>54</v>
      </c>
      <c r="J93" s="8">
        <v>80</v>
      </c>
      <c r="K93" s="8" t="s">
        <v>308</v>
      </c>
      <c r="L93" s="10">
        <v>49</v>
      </c>
      <c r="M93" s="8">
        <v>93</v>
      </c>
      <c r="N93" s="8" t="s">
        <v>308</v>
      </c>
      <c r="O93" s="10">
        <v>30</v>
      </c>
      <c r="P93" s="8">
        <v>78</v>
      </c>
      <c r="Q93" s="8" t="s">
        <v>308</v>
      </c>
      <c r="R93" s="8" t="s">
        <v>307</v>
      </c>
      <c r="S93" s="8">
        <f t="shared" si="4"/>
        <v>399</v>
      </c>
      <c r="T93" s="11">
        <f t="shared" si="5"/>
        <v>79.8</v>
      </c>
    </row>
    <row r="94" spans="1:20" x14ac:dyDescent="0.25">
      <c r="A94" s="8">
        <v>23605976</v>
      </c>
      <c r="B94" s="9" t="s">
        <v>405</v>
      </c>
      <c r="C94" s="10">
        <v>301</v>
      </c>
      <c r="D94" s="8">
        <v>79</v>
      </c>
      <c r="E94" s="8" t="s">
        <v>309</v>
      </c>
      <c r="F94" s="10">
        <v>55</v>
      </c>
      <c r="G94" s="8">
        <v>54</v>
      </c>
      <c r="H94" s="8" t="s">
        <v>312</v>
      </c>
      <c r="I94" s="10">
        <v>54</v>
      </c>
      <c r="J94" s="8">
        <v>85</v>
      </c>
      <c r="K94" s="8" t="s">
        <v>306</v>
      </c>
      <c r="L94" s="10">
        <v>49</v>
      </c>
      <c r="M94" s="8">
        <v>92</v>
      </c>
      <c r="N94" s="8" t="s">
        <v>308</v>
      </c>
      <c r="O94" s="10">
        <v>30</v>
      </c>
      <c r="P94" s="8">
        <v>89</v>
      </c>
      <c r="Q94" s="8" t="s">
        <v>305</v>
      </c>
      <c r="R94" s="8" t="s">
        <v>307</v>
      </c>
      <c r="S94" s="8">
        <f t="shared" si="4"/>
        <v>399</v>
      </c>
      <c r="T94" s="11">
        <f t="shared" si="5"/>
        <v>79.8</v>
      </c>
    </row>
    <row r="95" spans="1:20" x14ac:dyDescent="0.25">
      <c r="A95" s="8">
        <v>23605903</v>
      </c>
      <c r="B95" s="9" t="s">
        <v>333</v>
      </c>
      <c r="C95" s="10">
        <v>301</v>
      </c>
      <c r="D95" s="8">
        <v>85</v>
      </c>
      <c r="E95" s="8" t="s">
        <v>308</v>
      </c>
      <c r="F95" s="10">
        <v>42</v>
      </c>
      <c r="G95" s="8">
        <v>71</v>
      </c>
      <c r="H95" s="8" t="s">
        <v>308</v>
      </c>
      <c r="I95" s="10">
        <v>43</v>
      </c>
      <c r="J95" s="8">
        <v>67</v>
      </c>
      <c r="K95" s="8" t="s">
        <v>309</v>
      </c>
      <c r="L95" s="10">
        <v>44</v>
      </c>
      <c r="M95" s="8">
        <v>93</v>
      </c>
      <c r="N95" s="8" t="s">
        <v>305</v>
      </c>
      <c r="O95" s="10">
        <v>302</v>
      </c>
      <c r="P95" s="8">
        <v>81</v>
      </c>
      <c r="Q95" s="8" t="s">
        <v>308</v>
      </c>
      <c r="R95" s="8" t="s">
        <v>307</v>
      </c>
      <c r="S95" s="8">
        <f t="shared" si="4"/>
        <v>397</v>
      </c>
      <c r="T95" s="11">
        <f t="shared" si="5"/>
        <v>79.400000000000006</v>
      </c>
    </row>
    <row r="96" spans="1:20" x14ac:dyDescent="0.25">
      <c r="A96" s="8">
        <v>23605912</v>
      </c>
      <c r="B96" s="9" t="s">
        <v>315</v>
      </c>
      <c r="C96" s="10">
        <v>301</v>
      </c>
      <c r="D96" s="8">
        <v>87</v>
      </c>
      <c r="E96" s="8" t="s">
        <v>306</v>
      </c>
      <c r="F96" s="10">
        <v>42</v>
      </c>
      <c r="G96" s="8">
        <v>80</v>
      </c>
      <c r="H96" s="8" t="s">
        <v>306</v>
      </c>
      <c r="I96" s="10">
        <v>43</v>
      </c>
      <c r="J96" s="8">
        <v>75</v>
      </c>
      <c r="K96" s="8" t="s">
        <v>308</v>
      </c>
      <c r="L96" s="10">
        <v>41</v>
      </c>
      <c r="M96" s="8">
        <v>68</v>
      </c>
      <c r="N96" s="8" t="s">
        <v>308</v>
      </c>
      <c r="O96" s="10">
        <v>36</v>
      </c>
      <c r="P96" s="8">
        <v>86</v>
      </c>
      <c r="Q96" s="8" t="s">
        <v>312</v>
      </c>
      <c r="R96" s="8" t="s">
        <v>307</v>
      </c>
      <c r="S96" s="8">
        <f t="shared" si="4"/>
        <v>396</v>
      </c>
      <c r="T96" s="11">
        <f t="shared" si="5"/>
        <v>79.2</v>
      </c>
    </row>
    <row r="97" spans="1:20" x14ac:dyDescent="0.25">
      <c r="A97" s="8">
        <v>23605931</v>
      </c>
      <c r="B97" s="9" t="s">
        <v>359</v>
      </c>
      <c r="C97" s="10">
        <v>301</v>
      </c>
      <c r="D97" s="8">
        <v>85</v>
      </c>
      <c r="E97" s="8" t="s">
        <v>308</v>
      </c>
      <c r="F97" s="10">
        <v>42</v>
      </c>
      <c r="G97" s="8">
        <v>87</v>
      </c>
      <c r="H97" s="8" t="s">
        <v>305</v>
      </c>
      <c r="I97" s="10">
        <v>43</v>
      </c>
      <c r="J97" s="8">
        <v>77</v>
      </c>
      <c r="K97" s="8" t="s">
        <v>308</v>
      </c>
      <c r="L97" s="10">
        <v>44</v>
      </c>
      <c r="M97" s="8">
        <v>87</v>
      </c>
      <c r="N97" s="8" t="s">
        <v>306</v>
      </c>
      <c r="O97" s="10">
        <v>37</v>
      </c>
      <c r="P97" s="8">
        <v>59</v>
      </c>
      <c r="Q97" s="8" t="s">
        <v>314</v>
      </c>
      <c r="R97" s="8" t="s">
        <v>307</v>
      </c>
      <c r="S97" s="8">
        <f t="shared" si="4"/>
        <v>395</v>
      </c>
      <c r="T97" s="11">
        <f t="shared" si="5"/>
        <v>79</v>
      </c>
    </row>
    <row r="98" spans="1:20" x14ac:dyDescent="0.25">
      <c r="A98" s="8">
        <v>23605966</v>
      </c>
      <c r="B98" s="9" t="s">
        <v>395</v>
      </c>
      <c r="C98" s="10">
        <v>301</v>
      </c>
      <c r="D98" s="8">
        <v>92</v>
      </c>
      <c r="E98" s="8" t="s">
        <v>305</v>
      </c>
      <c r="F98" s="10">
        <v>55</v>
      </c>
      <c r="G98" s="8">
        <v>66</v>
      </c>
      <c r="H98" s="8" t="s">
        <v>309</v>
      </c>
      <c r="I98" s="10">
        <v>54</v>
      </c>
      <c r="J98" s="8">
        <v>62</v>
      </c>
      <c r="K98" s="8" t="s">
        <v>313</v>
      </c>
      <c r="L98" s="10">
        <v>49</v>
      </c>
      <c r="M98" s="8">
        <v>93</v>
      </c>
      <c r="N98" s="8" t="s">
        <v>308</v>
      </c>
      <c r="O98" s="10">
        <v>30</v>
      </c>
      <c r="P98" s="8">
        <v>81</v>
      </c>
      <c r="Q98" s="8" t="s">
        <v>306</v>
      </c>
      <c r="R98" s="8" t="s">
        <v>307</v>
      </c>
      <c r="S98" s="8">
        <f t="shared" ref="S98:S129" si="6">D98+G98+J98+M98+P98</f>
        <v>394</v>
      </c>
      <c r="T98" s="11">
        <f t="shared" ref="T98:T129" si="7">S98/5</f>
        <v>78.8</v>
      </c>
    </row>
    <row r="99" spans="1:20" x14ac:dyDescent="0.25">
      <c r="A99" s="8">
        <v>23606027</v>
      </c>
      <c r="B99" s="9" t="s">
        <v>454</v>
      </c>
      <c r="C99" s="10">
        <v>301</v>
      </c>
      <c r="D99" s="8">
        <v>90</v>
      </c>
      <c r="E99" s="8" t="s">
        <v>306</v>
      </c>
      <c r="F99" s="10">
        <v>27</v>
      </c>
      <c r="G99" s="8">
        <v>71</v>
      </c>
      <c r="H99" s="8" t="s">
        <v>308</v>
      </c>
      <c r="I99" s="10">
        <v>29</v>
      </c>
      <c r="J99" s="8">
        <v>66</v>
      </c>
      <c r="K99" s="8" t="s">
        <v>309</v>
      </c>
      <c r="L99" s="10">
        <v>30</v>
      </c>
      <c r="M99" s="8">
        <v>74</v>
      </c>
      <c r="N99" s="8" t="s">
        <v>308</v>
      </c>
      <c r="O99" s="10">
        <v>49</v>
      </c>
      <c r="P99" s="8">
        <v>92</v>
      </c>
      <c r="Q99" s="8" t="s">
        <v>308</v>
      </c>
      <c r="R99" s="8" t="s">
        <v>307</v>
      </c>
      <c r="S99" s="8">
        <f t="shared" si="6"/>
        <v>393</v>
      </c>
      <c r="T99" s="11">
        <f t="shared" si="7"/>
        <v>78.599999999999994</v>
      </c>
    </row>
    <row r="100" spans="1:20" x14ac:dyDescent="0.25">
      <c r="A100" s="8">
        <v>23605968</v>
      </c>
      <c r="B100" s="9" t="s">
        <v>397</v>
      </c>
      <c r="C100" s="10">
        <v>301</v>
      </c>
      <c r="D100" s="8">
        <v>87</v>
      </c>
      <c r="E100" s="8" t="s">
        <v>306</v>
      </c>
      <c r="F100" s="10">
        <v>55</v>
      </c>
      <c r="G100" s="8">
        <v>88</v>
      </c>
      <c r="H100" s="8" t="s">
        <v>306</v>
      </c>
      <c r="I100" s="10">
        <v>54</v>
      </c>
      <c r="J100" s="8">
        <v>85</v>
      </c>
      <c r="K100" s="8" t="s">
        <v>306</v>
      </c>
      <c r="L100" s="10">
        <v>41</v>
      </c>
      <c r="M100" s="8">
        <v>57</v>
      </c>
      <c r="N100" s="8" t="s">
        <v>313</v>
      </c>
      <c r="O100" s="10">
        <v>30</v>
      </c>
      <c r="P100" s="8">
        <v>75</v>
      </c>
      <c r="Q100" s="8" t="s">
        <v>308</v>
      </c>
      <c r="R100" s="8" t="s">
        <v>307</v>
      </c>
      <c r="S100" s="8">
        <f t="shared" si="6"/>
        <v>392</v>
      </c>
      <c r="T100" s="11">
        <f t="shared" si="7"/>
        <v>78.400000000000006</v>
      </c>
    </row>
    <row r="101" spans="1:20" x14ac:dyDescent="0.25">
      <c r="A101" s="8">
        <v>23605963</v>
      </c>
      <c r="B101" s="9" t="s">
        <v>392</v>
      </c>
      <c r="C101" s="10">
        <v>301</v>
      </c>
      <c r="D101" s="8">
        <v>95</v>
      </c>
      <c r="E101" s="8" t="s">
        <v>305</v>
      </c>
      <c r="F101" s="10">
        <v>55</v>
      </c>
      <c r="G101" s="8">
        <v>76</v>
      </c>
      <c r="H101" s="8" t="s">
        <v>308</v>
      </c>
      <c r="I101" s="10">
        <v>54</v>
      </c>
      <c r="J101" s="8">
        <v>90</v>
      </c>
      <c r="K101" s="8" t="s">
        <v>305</v>
      </c>
      <c r="L101" s="10">
        <v>41</v>
      </c>
      <c r="M101" s="8">
        <v>48</v>
      </c>
      <c r="N101" s="8" t="s">
        <v>314</v>
      </c>
      <c r="O101" s="10">
        <v>30</v>
      </c>
      <c r="P101" s="8">
        <v>82</v>
      </c>
      <c r="Q101" s="8" t="s">
        <v>306</v>
      </c>
      <c r="R101" s="8" t="s">
        <v>307</v>
      </c>
      <c r="S101" s="8">
        <f t="shared" si="6"/>
        <v>391</v>
      </c>
      <c r="T101" s="11">
        <f t="shared" si="7"/>
        <v>78.2</v>
      </c>
    </row>
    <row r="102" spans="1:20" x14ac:dyDescent="0.25">
      <c r="A102" s="8">
        <v>23606014</v>
      </c>
      <c r="B102" s="9" t="s">
        <v>318</v>
      </c>
      <c r="C102" s="10">
        <v>301</v>
      </c>
      <c r="D102" s="8">
        <v>92</v>
      </c>
      <c r="E102" s="8" t="s">
        <v>305</v>
      </c>
      <c r="F102" s="10">
        <v>27</v>
      </c>
      <c r="G102" s="8">
        <v>72</v>
      </c>
      <c r="H102" s="8" t="s">
        <v>308</v>
      </c>
      <c r="I102" s="10">
        <v>29</v>
      </c>
      <c r="J102" s="8">
        <v>81</v>
      </c>
      <c r="K102" s="8" t="s">
        <v>306</v>
      </c>
      <c r="L102" s="10">
        <v>30</v>
      </c>
      <c r="M102" s="8">
        <v>63</v>
      </c>
      <c r="N102" s="8" t="s">
        <v>313</v>
      </c>
      <c r="O102" s="10">
        <v>37</v>
      </c>
      <c r="P102" s="8">
        <v>78</v>
      </c>
      <c r="Q102" s="8" t="s">
        <v>309</v>
      </c>
      <c r="R102" s="8" t="s">
        <v>307</v>
      </c>
      <c r="S102" s="8">
        <f t="shared" si="6"/>
        <v>386</v>
      </c>
      <c r="T102" s="11">
        <f t="shared" si="7"/>
        <v>77.2</v>
      </c>
    </row>
    <row r="103" spans="1:20" x14ac:dyDescent="0.25">
      <c r="A103" s="8">
        <v>23605904</v>
      </c>
      <c r="B103" s="9" t="s">
        <v>334</v>
      </c>
      <c r="C103" s="10">
        <v>301</v>
      </c>
      <c r="D103" s="8">
        <v>81</v>
      </c>
      <c r="E103" s="8" t="s">
        <v>308</v>
      </c>
      <c r="F103" s="10">
        <v>42</v>
      </c>
      <c r="G103" s="8">
        <v>72</v>
      </c>
      <c r="H103" s="8" t="s">
        <v>308</v>
      </c>
      <c r="I103" s="10">
        <v>43</v>
      </c>
      <c r="J103" s="8">
        <v>74</v>
      </c>
      <c r="K103" s="8" t="s">
        <v>308</v>
      </c>
      <c r="L103" s="10">
        <v>41</v>
      </c>
      <c r="M103" s="8">
        <v>65</v>
      </c>
      <c r="N103" s="8" t="s">
        <v>309</v>
      </c>
      <c r="O103" s="10">
        <v>48</v>
      </c>
      <c r="P103" s="8">
        <v>89</v>
      </c>
      <c r="Q103" s="8" t="s">
        <v>306</v>
      </c>
      <c r="R103" s="8" t="s">
        <v>307</v>
      </c>
      <c r="S103" s="8">
        <f t="shared" si="6"/>
        <v>381</v>
      </c>
      <c r="T103" s="11">
        <f t="shared" si="7"/>
        <v>76.2</v>
      </c>
    </row>
    <row r="104" spans="1:20" x14ac:dyDescent="0.25">
      <c r="A104" s="8">
        <v>23605935</v>
      </c>
      <c r="B104" s="9" t="s">
        <v>363</v>
      </c>
      <c r="C104" s="10">
        <v>301</v>
      </c>
      <c r="D104" s="8">
        <v>85</v>
      </c>
      <c r="E104" s="8" t="s">
        <v>308</v>
      </c>
      <c r="F104" s="10">
        <v>42</v>
      </c>
      <c r="G104" s="8">
        <v>67</v>
      </c>
      <c r="H104" s="8" t="s">
        <v>309</v>
      </c>
      <c r="I104" s="10">
        <v>43</v>
      </c>
      <c r="J104" s="8">
        <v>51</v>
      </c>
      <c r="K104" s="8" t="s">
        <v>310</v>
      </c>
      <c r="L104" s="10">
        <v>44</v>
      </c>
      <c r="M104" s="8">
        <v>81</v>
      </c>
      <c r="N104" s="8" t="s">
        <v>308</v>
      </c>
      <c r="O104" s="10">
        <v>49</v>
      </c>
      <c r="P104" s="8">
        <v>96</v>
      </c>
      <c r="Q104" s="8" t="s">
        <v>306</v>
      </c>
      <c r="R104" s="8" t="s">
        <v>307</v>
      </c>
      <c r="S104" s="8">
        <f t="shared" si="6"/>
        <v>380</v>
      </c>
      <c r="T104" s="11">
        <f t="shared" si="7"/>
        <v>76</v>
      </c>
    </row>
    <row r="105" spans="1:20" x14ac:dyDescent="0.25">
      <c r="A105" s="8">
        <v>23605989</v>
      </c>
      <c r="B105" s="9" t="s">
        <v>418</v>
      </c>
      <c r="C105" s="10">
        <v>301</v>
      </c>
      <c r="D105" s="8">
        <v>83</v>
      </c>
      <c r="E105" s="8" t="s">
        <v>308</v>
      </c>
      <c r="F105" s="10">
        <v>55</v>
      </c>
      <c r="G105" s="8">
        <v>72</v>
      </c>
      <c r="H105" s="8" t="s">
        <v>308</v>
      </c>
      <c r="I105" s="10">
        <v>54</v>
      </c>
      <c r="J105" s="8">
        <v>83</v>
      </c>
      <c r="K105" s="8" t="s">
        <v>306</v>
      </c>
      <c r="L105" s="10">
        <v>41</v>
      </c>
      <c r="M105" s="8">
        <v>44</v>
      </c>
      <c r="N105" s="8" t="s">
        <v>310</v>
      </c>
      <c r="O105" s="10">
        <v>34</v>
      </c>
      <c r="P105" s="8">
        <v>97</v>
      </c>
      <c r="Q105" s="8" t="s">
        <v>306</v>
      </c>
      <c r="R105" s="8" t="s">
        <v>307</v>
      </c>
      <c r="S105" s="8">
        <f t="shared" si="6"/>
        <v>379</v>
      </c>
      <c r="T105" s="11">
        <f t="shared" si="7"/>
        <v>75.8</v>
      </c>
    </row>
    <row r="106" spans="1:20" x14ac:dyDescent="0.25">
      <c r="A106" s="8">
        <v>23605996</v>
      </c>
      <c r="B106" s="9" t="s">
        <v>425</v>
      </c>
      <c r="C106" s="10">
        <v>301</v>
      </c>
      <c r="D106" s="8">
        <v>93</v>
      </c>
      <c r="E106" s="8" t="s">
        <v>305</v>
      </c>
      <c r="F106" s="10">
        <v>55</v>
      </c>
      <c r="G106" s="8">
        <v>60</v>
      </c>
      <c r="H106" s="8" t="s">
        <v>313</v>
      </c>
      <c r="I106" s="10">
        <v>54</v>
      </c>
      <c r="J106" s="8">
        <v>74</v>
      </c>
      <c r="K106" s="8" t="s">
        <v>308</v>
      </c>
      <c r="L106" s="10">
        <v>37</v>
      </c>
      <c r="M106" s="8">
        <v>64</v>
      </c>
      <c r="N106" s="8" t="s">
        <v>312</v>
      </c>
      <c r="O106" s="10">
        <v>30</v>
      </c>
      <c r="P106" s="8">
        <v>86</v>
      </c>
      <c r="Q106" s="8" t="s">
        <v>306</v>
      </c>
      <c r="R106" s="8" t="s">
        <v>307</v>
      </c>
      <c r="S106" s="8">
        <f t="shared" si="6"/>
        <v>377</v>
      </c>
      <c r="T106" s="11">
        <f t="shared" si="7"/>
        <v>75.400000000000006</v>
      </c>
    </row>
    <row r="107" spans="1:20" x14ac:dyDescent="0.25">
      <c r="A107" s="8">
        <v>23606002</v>
      </c>
      <c r="B107" s="9" t="s">
        <v>431</v>
      </c>
      <c r="C107" s="10">
        <v>301</v>
      </c>
      <c r="D107" s="8">
        <v>81</v>
      </c>
      <c r="E107" s="8" t="s">
        <v>308</v>
      </c>
      <c r="F107" s="10">
        <v>27</v>
      </c>
      <c r="G107" s="8">
        <v>62</v>
      </c>
      <c r="H107" s="8" t="s">
        <v>309</v>
      </c>
      <c r="I107" s="10">
        <v>29</v>
      </c>
      <c r="J107" s="8">
        <v>73</v>
      </c>
      <c r="K107" s="8" t="s">
        <v>308</v>
      </c>
      <c r="L107" s="10">
        <v>49</v>
      </c>
      <c r="M107" s="8">
        <v>83</v>
      </c>
      <c r="N107" s="8" t="s">
        <v>312</v>
      </c>
      <c r="O107" s="10">
        <v>48</v>
      </c>
      <c r="P107" s="8">
        <v>78</v>
      </c>
      <c r="Q107" s="8" t="s">
        <v>309</v>
      </c>
      <c r="R107" s="8" t="s">
        <v>307</v>
      </c>
      <c r="S107" s="8">
        <f t="shared" si="6"/>
        <v>377</v>
      </c>
      <c r="T107" s="11">
        <f t="shared" si="7"/>
        <v>75.400000000000006</v>
      </c>
    </row>
    <row r="108" spans="1:20" x14ac:dyDescent="0.25">
      <c r="A108" s="8">
        <v>23606029</v>
      </c>
      <c r="B108" s="9" t="s">
        <v>456</v>
      </c>
      <c r="C108" s="10">
        <v>301</v>
      </c>
      <c r="D108" s="8">
        <v>71</v>
      </c>
      <c r="E108" s="8" t="s">
        <v>313</v>
      </c>
      <c r="F108" s="10">
        <v>27</v>
      </c>
      <c r="G108" s="8">
        <v>85</v>
      </c>
      <c r="H108" s="8" t="s">
        <v>305</v>
      </c>
      <c r="I108" s="10">
        <v>29</v>
      </c>
      <c r="J108" s="8">
        <v>77</v>
      </c>
      <c r="K108" s="8" t="s">
        <v>308</v>
      </c>
      <c r="L108" s="10">
        <v>28</v>
      </c>
      <c r="M108" s="8">
        <v>55</v>
      </c>
      <c r="N108" s="8" t="s">
        <v>313</v>
      </c>
      <c r="O108" s="10">
        <v>49</v>
      </c>
      <c r="P108" s="8">
        <v>89</v>
      </c>
      <c r="Q108" s="8" t="s">
        <v>309</v>
      </c>
      <c r="R108" s="8" t="s">
        <v>307</v>
      </c>
      <c r="S108" s="8">
        <f t="shared" si="6"/>
        <v>377</v>
      </c>
      <c r="T108" s="11">
        <f t="shared" si="7"/>
        <v>75.400000000000006</v>
      </c>
    </row>
    <row r="109" spans="1:20" x14ac:dyDescent="0.25">
      <c r="A109" s="8">
        <v>23605970</v>
      </c>
      <c r="B109" s="9" t="s">
        <v>399</v>
      </c>
      <c r="C109" s="10">
        <v>301</v>
      </c>
      <c r="D109" s="8">
        <v>80</v>
      </c>
      <c r="E109" s="8" t="s">
        <v>309</v>
      </c>
      <c r="F109" s="10">
        <v>55</v>
      </c>
      <c r="G109" s="8">
        <v>53</v>
      </c>
      <c r="H109" s="8" t="s">
        <v>312</v>
      </c>
      <c r="I109" s="10">
        <v>54</v>
      </c>
      <c r="J109" s="8">
        <v>74</v>
      </c>
      <c r="K109" s="8" t="s">
        <v>308</v>
      </c>
      <c r="L109" s="10">
        <v>37</v>
      </c>
      <c r="M109" s="8">
        <v>81</v>
      </c>
      <c r="N109" s="8" t="s">
        <v>309</v>
      </c>
      <c r="O109" s="10">
        <v>30</v>
      </c>
      <c r="P109" s="8">
        <v>88</v>
      </c>
      <c r="Q109" s="8" t="s">
        <v>306</v>
      </c>
      <c r="R109" s="8" t="s">
        <v>307</v>
      </c>
      <c r="S109" s="8">
        <f t="shared" si="6"/>
        <v>376</v>
      </c>
      <c r="T109" s="11">
        <f t="shared" si="7"/>
        <v>75.2</v>
      </c>
    </row>
    <row r="110" spans="1:20" x14ac:dyDescent="0.25">
      <c r="A110" s="8">
        <v>23605946</v>
      </c>
      <c r="B110" s="9" t="s">
        <v>374</v>
      </c>
      <c r="C110" s="10">
        <v>301</v>
      </c>
      <c r="D110" s="8">
        <v>92</v>
      </c>
      <c r="E110" s="8" t="s">
        <v>305</v>
      </c>
      <c r="F110" s="10">
        <v>42</v>
      </c>
      <c r="G110" s="8">
        <v>78</v>
      </c>
      <c r="H110" s="8" t="s">
        <v>306</v>
      </c>
      <c r="I110" s="10">
        <v>43</v>
      </c>
      <c r="J110" s="8">
        <v>63</v>
      </c>
      <c r="K110" s="8" t="s">
        <v>313</v>
      </c>
      <c r="L110" s="10">
        <v>41</v>
      </c>
      <c r="M110" s="8">
        <v>53</v>
      </c>
      <c r="N110" s="8" t="s">
        <v>312</v>
      </c>
      <c r="O110" s="10">
        <v>48</v>
      </c>
      <c r="P110" s="8">
        <v>87</v>
      </c>
      <c r="Q110" s="8" t="s">
        <v>306</v>
      </c>
      <c r="R110" s="8" t="s">
        <v>307</v>
      </c>
      <c r="S110" s="8">
        <f t="shared" si="6"/>
        <v>373</v>
      </c>
      <c r="T110" s="11">
        <f t="shared" si="7"/>
        <v>74.599999999999994</v>
      </c>
    </row>
    <row r="111" spans="1:20" x14ac:dyDescent="0.25">
      <c r="A111" s="8">
        <v>23606018</v>
      </c>
      <c r="B111" s="9" t="s">
        <v>445</v>
      </c>
      <c r="C111" s="10">
        <v>301</v>
      </c>
      <c r="D111" s="8">
        <v>89</v>
      </c>
      <c r="E111" s="8" t="s">
        <v>306</v>
      </c>
      <c r="F111" s="10">
        <v>27</v>
      </c>
      <c r="G111" s="8">
        <v>67</v>
      </c>
      <c r="H111" s="8" t="s">
        <v>308</v>
      </c>
      <c r="I111" s="10">
        <v>29</v>
      </c>
      <c r="J111" s="8">
        <v>74</v>
      </c>
      <c r="K111" s="8" t="s">
        <v>308</v>
      </c>
      <c r="L111" s="10">
        <v>37</v>
      </c>
      <c r="M111" s="8">
        <v>82</v>
      </c>
      <c r="N111" s="8" t="s">
        <v>309</v>
      </c>
      <c r="O111" s="10">
        <v>83</v>
      </c>
      <c r="P111" s="8">
        <v>61</v>
      </c>
      <c r="Q111" s="8" t="s">
        <v>314</v>
      </c>
      <c r="R111" s="8" t="s">
        <v>307</v>
      </c>
      <c r="S111" s="8">
        <f t="shared" si="6"/>
        <v>373</v>
      </c>
      <c r="T111" s="11">
        <f t="shared" si="7"/>
        <v>74.599999999999994</v>
      </c>
    </row>
    <row r="112" spans="1:20" x14ac:dyDescent="0.25">
      <c r="A112" s="8">
        <v>23605900</v>
      </c>
      <c r="B112" s="9" t="s">
        <v>330</v>
      </c>
      <c r="C112" s="10">
        <v>301</v>
      </c>
      <c r="D112" s="8">
        <v>77</v>
      </c>
      <c r="E112" s="8" t="s">
        <v>309</v>
      </c>
      <c r="F112" s="10">
        <v>42</v>
      </c>
      <c r="G112" s="8">
        <v>71</v>
      </c>
      <c r="H112" s="8" t="s">
        <v>308</v>
      </c>
      <c r="I112" s="10">
        <v>43</v>
      </c>
      <c r="J112" s="8">
        <v>60</v>
      </c>
      <c r="K112" s="8" t="s">
        <v>312</v>
      </c>
      <c r="L112" s="10">
        <v>41</v>
      </c>
      <c r="M112" s="8">
        <v>66</v>
      </c>
      <c r="N112" s="8" t="s">
        <v>309</v>
      </c>
      <c r="O112" s="10">
        <v>36</v>
      </c>
      <c r="P112" s="8">
        <v>93</v>
      </c>
      <c r="Q112" s="8" t="s">
        <v>308</v>
      </c>
      <c r="R112" s="8" t="s">
        <v>307</v>
      </c>
      <c r="S112" s="8">
        <f t="shared" si="6"/>
        <v>367</v>
      </c>
      <c r="T112" s="11">
        <f t="shared" si="7"/>
        <v>73.400000000000006</v>
      </c>
    </row>
    <row r="113" spans="1:20" x14ac:dyDescent="0.25">
      <c r="A113" s="8">
        <v>23605927</v>
      </c>
      <c r="B113" s="9" t="s">
        <v>355</v>
      </c>
      <c r="C113" s="10">
        <v>301</v>
      </c>
      <c r="D113" s="8">
        <v>87</v>
      </c>
      <c r="E113" s="8" t="s">
        <v>306</v>
      </c>
      <c r="F113" s="10">
        <v>42</v>
      </c>
      <c r="G113" s="8">
        <v>79</v>
      </c>
      <c r="H113" s="8" t="s">
        <v>306</v>
      </c>
      <c r="I113" s="10">
        <v>43</v>
      </c>
      <c r="J113" s="8">
        <v>60</v>
      </c>
      <c r="K113" s="8" t="s">
        <v>312</v>
      </c>
      <c r="L113" s="10">
        <v>44</v>
      </c>
      <c r="M113" s="8">
        <v>75</v>
      </c>
      <c r="N113" s="8" t="s">
        <v>309</v>
      </c>
      <c r="O113" s="10">
        <v>37</v>
      </c>
      <c r="P113" s="8">
        <v>65</v>
      </c>
      <c r="Q113" s="8" t="s">
        <v>312</v>
      </c>
      <c r="R113" s="8" t="s">
        <v>307</v>
      </c>
      <c r="S113" s="8">
        <f t="shared" si="6"/>
        <v>366</v>
      </c>
      <c r="T113" s="11">
        <f t="shared" si="7"/>
        <v>73.2</v>
      </c>
    </row>
    <row r="114" spans="1:20" x14ac:dyDescent="0.25">
      <c r="A114" s="8">
        <v>23606001</v>
      </c>
      <c r="B114" s="9" t="s">
        <v>430</v>
      </c>
      <c r="C114" s="10">
        <v>301</v>
      </c>
      <c r="D114" s="8">
        <v>83</v>
      </c>
      <c r="E114" s="8" t="s">
        <v>308</v>
      </c>
      <c r="F114" s="10">
        <v>27</v>
      </c>
      <c r="G114" s="8">
        <v>83</v>
      </c>
      <c r="H114" s="8" t="s">
        <v>306</v>
      </c>
      <c r="I114" s="10">
        <v>29</v>
      </c>
      <c r="J114" s="8">
        <v>66</v>
      </c>
      <c r="K114" s="8" t="s">
        <v>309</v>
      </c>
      <c r="L114" s="10">
        <v>28</v>
      </c>
      <c r="M114" s="8">
        <v>77</v>
      </c>
      <c r="N114" s="8" t="s">
        <v>306</v>
      </c>
      <c r="O114" s="10">
        <v>302</v>
      </c>
      <c r="P114" s="8">
        <v>56</v>
      </c>
      <c r="Q114" s="8" t="s">
        <v>314</v>
      </c>
      <c r="R114" s="8" t="s">
        <v>307</v>
      </c>
      <c r="S114" s="8">
        <f t="shared" si="6"/>
        <v>365</v>
      </c>
      <c r="T114" s="11">
        <f t="shared" si="7"/>
        <v>73</v>
      </c>
    </row>
    <row r="115" spans="1:20" x14ac:dyDescent="0.25">
      <c r="A115" s="8">
        <v>23605918</v>
      </c>
      <c r="B115" s="9" t="s">
        <v>347</v>
      </c>
      <c r="C115" s="10">
        <v>301</v>
      </c>
      <c r="D115" s="8">
        <v>73</v>
      </c>
      <c r="E115" s="8" t="s">
        <v>313</v>
      </c>
      <c r="F115" s="10">
        <v>42</v>
      </c>
      <c r="G115" s="8">
        <v>64</v>
      </c>
      <c r="H115" s="8" t="s">
        <v>313</v>
      </c>
      <c r="I115" s="10">
        <v>43</v>
      </c>
      <c r="J115" s="8">
        <v>60</v>
      </c>
      <c r="K115" s="8" t="s">
        <v>312</v>
      </c>
      <c r="L115" s="10">
        <v>44</v>
      </c>
      <c r="M115" s="8">
        <v>85</v>
      </c>
      <c r="N115" s="8" t="s">
        <v>306</v>
      </c>
      <c r="O115" s="10">
        <v>302</v>
      </c>
      <c r="P115" s="8">
        <v>81</v>
      </c>
      <c r="Q115" s="8" t="s">
        <v>308</v>
      </c>
      <c r="R115" s="8" t="s">
        <v>307</v>
      </c>
      <c r="S115" s="8">
        <f t="shared" si="6"/>
        <v>363</v>
      </c>
      <c r="T115" s="11">
        <f t="shared" si="7"/>
        <v>72.599999999999994</v>
      </c>
    </row>
    <row r="116" spans="1:20" x14ac:dyDescent="0.25">
      <c r="A116" s="8">
        <v>23605942</v>
      </c>
      <c r="B116" s="9" t="s">
        <v>370</v>
      </c>
      <c r="C116" s="10">
        <v>301</v>
      </c>
      <c r="D116" s="8">
        <v>88</v>
      </c>
      <c r="E116" s="8" t="s">
        <v>306</v>
      </c>
      <c r="F116" s="10">
        <v>42</v>
      </c>
      <c r="G116" s="8">
        <v>82</v>
      </c>
      <c r="H116" s="8" t="s">
        <v>306</v>
      </c>
      <c r="I116" s="10">
        <v>43</v>
      </c>
      <c r="J116" s="8">
        <v>59</v>
      </c>
      <c r="K116" s="8" t="s">
        <v>312</v>
      </c>
      <c r="L116" s="10">
        <v>41</v>
      </c>
      <c r="M116" s="8">
        <v>45</v>
      </c>
      <c r="N116" s="8" t="s">
        <v>310</v>
      </c>
      <c r="O116" s="10">
        <v>48</v>
      </c>
      <c r="P116" s="8">
        <v>88</v>
      </c>
      <c r="Q116" s="8" t="s">
        <v>306</v>
      </c>
      <c r="R116" s="8" t="s">
        <v>307</v>
      </c>
      <c r="S116" s="8">
        <f t="shared" si="6"/>
        <v>362</v>
      </c>
      <c r="T116" s="11">
        <f t="shared" si="7"/>
        <v>72.400000000000006</v>
      </c>
    </row>
    <row r="117" spans="1:20" x14ac:dyDescent="0.25">
      <c r="A117" s="8">
        <v>23605964</v>
      </c>
      <c r="B117" s="9" t="s">
        <v>393</v>
      </c>
      <c r="C117" s="10">
        <v>301</v>
      </c>
      <c r="D117" s="8">
        <v>80</v>
      </c>
      <c r="E117" s="8" t="s">
        <v>309</v>
      </c>
      <c r="F117" s="10">
        <v>55</v>
      </c>
      <c r="G117" s="8">
        <v>51</v>
      </c>
      <c r="H117" s="8" t="s">
        <v>312</v>
      </c>
      <c r="I117" s="10">
        <v>54</v>
      </c>
      <c r="J117" s="8">
        <v>68</v>
      </c>
      <c r="K117" s="8" t="s">
        <v>309</v>
      </c>
      <c r="L117" s="10">
        <v>49</v>
      </c>
      <c r="M117" s="8">
        <v>92</v>
      </c>
      <c r="N117" s="8" t="s">
        <v>308</v>
      </c>
      <c r="O117" s="10">
        <v>83</v>
      </c>
      <c r="P117" s="8">
        <v>69</v>
      </c>
      <c r="Q117" s="8" t="s">
        <v>312</v>
      </c>
      <c r="R117" s="8" t="s">
        <v>307</v>
      </c>
      <c r="S117" s="8">
        <f t="shared" si="6"/>
        <v>360</v>
      </c>
      <c r="T117" s="11">
        <f t="shared" si="7"/>
        <v>72</v>
      </c>
    </row>
    <row r="118" spans="1:20" x14ac:dyDescent="0.25">
      <c r="A118" s="8">
        <v>23605954</v>
      </c>
      <c r="B118" s="9" t="s">
        <v>382</v>
      </c>
      <c r="C118" s="10">
        <v>301</v>
      </c>
      <c r="D118" s="8">
        <v>98</v>
      </c>
      <c r="E118" s="8" t="s">
        <v>305</v>
      </c>
      <c r="F118" s="10">
        <v>42</v>
      </c>
      <c r="G118" s="8">
        <v>60</v>
      </c>
      <c r="H118" s="8" t="s">
        <v>312</v>
      </c>
      <c r="I118" s="10">
        <v>43</v>
      </c>
      <c r="J118" s="8">
        <v>63</v>
      </c>
      <c r="K118" s="8" t="s">
        <v>313</v>
      </c>
      <c r="L118" s="10">
        <v>41</v>
      </c>
      <c r="M118" s="8">
        <v>55</v>
      </c>
      <c r="N118" s="8" t="s">
        <v>313</v>
      </c>
      <c r="O118" s="10">
        <v>83</v>
      </c>
      <c r="P118" s="8">
        <v>80</v>
      </c>
      <c r="Q118" s="8" t="s">
        <v>309</v>
      </c>
      <c r="R118" s="8" t="s">
        <v>307</v>
      </c>
      <c r="S118" s="8">
        <f t="shared" si="6"/>
        <v>356</v>
      </c>
      <c r="T118" s="11">
        <f t="shared" si="7"/>
        <v>71.2</v>
      </c>
    </row>
    <row r="119" spans="1:20" x14ac:dyDescent="0.25">
      <c r="A119" s="8">
        <v>23605994</v>
      </c>
      <c r="B119" s="9" t="s">
        <v>423</v>
      </c>
      <c r="C119" s="10">
        <v>301</v>
      </c>
      <c r="D119" s="8">
        <v>80</v>
      </c>
      <c r="E119" s="8" t="s">
        <v>309</v>
      </c>
      <c r="F119" s="10">
        <v>55</v>
      </c>
      <c r="G119" s="8">
        <v>60</v>
      </c>
      <c r="H119" s="8" t="s">
        <v>313</v>
      </c>
      <c r="I119" s="10">
        <v>54</v>
      </c>
      <c r="J119" s="8">
        <v>69</v>
      </c>
      <c r="K119" s="8" t="s">
        <v>309</v>
      </c>
      <c r="L119" s="10">
        <v>37</v>
      </c>
      <c r="M119" s="8">
        <v>71</v>
      </c>
      <c r="N119" s="8" t="s">
        <v>313</v>
      </c>
      <c r="O119" s="10">
        <v>30</v>
      </c>
      <c r="P119" s="8">
        <v>76</v>
      </c>
      <c r="Q119" s="8" t="s">
        <v>308</v>
      </c>
      <c r="R119" s="8" t="s">
        <v>307</v>
      </c>
      <c r="S119" s="8">
        <f t="shared" si="6"/>
        <v>356</v>
      </c>
      <c r="T119" s="11">
        <f t="shared" si="7"/>
        <v>71.2</v>
      </c>
    </row>
    <row r="120" spans="1:20" x14ac:dyDescent="0.25">
      <c r="A120" s="8">
        <v>23606005</v>
      </c>
      <c r="B120" s="9" t="s">
        <v>433</v>
      </c>
      <c r="C120" s="10">
        <v>301</v>
      </c>
      <c r="D120" s="8">
        <v>75</v>
      </c>
      <c r="E120" s="8" t="s">
        <v>313</v>
      </c>
      <c r="F120" s="10">
        <v>27</v>
      </c>
      <c r="G120" s="8">
        <v>53</v>
      </c>
      <c r="H120" s="8" t="s">
        <v>312</v>
      </c>
      <c r="I120" s="10">
        <v>29</v>
      </c>
      <c r="J120" s="8">
        <v>65</v>
      </c>
      <c r="K120" s="8" t="s">
        <v>309</v>
      </c>
      <c r="L120" s="10">
        <v>49</v>
      </c>
      <c r="M120" s="8">
        <v>83</v>
      </c>
      <c r="N120" s="8" t="s">
        <v>312</v>
      </c>
      <c r="O120" s="10">
        <v>48</v>
      </c>
      <c r="P120" s="8">
        <v>80</v>
      </c>
      <c r="Q120" s="8" t="s">
        <v>309</v>
      </c>
      <c r="R120" s="8" t="s">
        <v>307</v>
      </c>
      <c r="S120" s="8">
        <f t="shared" si="6"/>
        <v>356</v>
      </c>
      <c r="T120" s="11">
        <f t="shared" si="7"/>
        <v>71.2</v>
      </c>
    </row>
    <row r="121" spans="1:20" x14ac:dyDescent="0.25">
      <c r="A121" s="8">
        <v>23605919</v>
      </c>
      <c r="B121" s="9" t="s">
        <v>348</v>
      </c>
      <c r="C121" s="10">
        <v>301</v>
      </c>
      <c r="D121" s="8">
        <v>87</v>
      </c>
      <c r="E121" s="8" t="s">
        <v>306</v>
      </c>
      <c r="F121" s="10">
        <v>42</v>
      </c>
      <c r="G121" s="8">
        <v>59</v>
      </c>
      <c r="H121" s="8" t="s">
        <v>312</v>
      </c>
      <c r="I121" s="10">
        <v>43</v>
      </c>
      <c r="J121" s="8">
        <v>57</v>
      </c>
      <c r="K121" s="8" t="s">
        <v>314</v>
      </c>
      <c r="L121" s="10">
        <v>44</v>
      </c>
      <c r="M121" s="8">
        <v>63</v>
      </c>
      <c r="N121" s="8" t="s">
        <v>312</v>
      </c>
      <c r="O121" s="10">
        <v>49</v>
      </c>
      <c r="P121" s="8">
        <v>87</v>
      </c>
      <c r="Q121" s="8" t="s">
        <v>313</v>
      </c>
      <c r="R121" s="8" t="s">
        <v>307</v>
      </c>
      <c r="S121" s="8">
        <f t="shared" si="6"/>
        <v>353</v>
      </c>
      <c r="T121" s="11">
        <f t="shared" si="7"/>
        <v>70.599999999999994</v>
      </c>
    </row>
    <row r="122" spans="1:20" x14ac:dyDescent="0.25">
      <c r="A122" s="8">
        <v>23606022</v>
      </c>
      <c r="B122" s="9" t="s">
        <v>449</v>
      </c>
      <c r="C122" s="10">
        <v>301</v>
      </c>
      <c r="D122" s="8">
        <v>70</v>
      </c>
      <c r="E122" s="8" t="s">
        <v>313</v>
      </c>
      <c r="F122" s="10">
        <v>27</v>
      </c>
      <c r="G122" s="8">
        <v>60</v>
      </c>
      <c r="H122" s="8" t="s">
        <v>313</v>
      </c>
      <c r="I122" s="10">
        <v>29</v>
      </c>
      <c r="J122" s="8">
        <v>59</v>
      </c>
      <c r="K122" s="8" t="s">
        <v>313</v>
      </c>
      <c r="L122" s="10">
        <v>49</v>
      </c>
      <c r="M122" s="8">
        <v>84</v>
      </c>
      <c r="N122" s="8" t="s">
        <v>312</v>
      </c>
      <c r="O122" s="10">
        <v>34</v>
      </c>
      <c r="P122" s="8">
        <v>80</v>
      </c>
      <c r="Q122" s="8" t="s">
        <v>314</v>
      </c>
      <c r="R122" s="8" t="s">
        <v>307</v>
      </c>
      <c r="S122" s="8">
        <f t="shared" si="6"/>
        <v>353</v>
      </c>
      <c r="T122" s="11">
        <f t="shared" si="7"/>
        <v>70.599999999999994</v>
      </c>
    </row>
    <row r="123" spans="1:20" x14ac:dyDescent="0.25">
      <c r="A123" s="8">
        <v>23605937</v>
      </c>
      <c r="B123" s="9" t="s">
        <v>365</v>
      </c>
      <c r="C123" s="10">
        <v>301</v>
      </c>
      <c r="D123" s="8">
        <v>84</v>
      </c>
      <c r="E123" s="8" t="s">
        <v>308</v>
      </c>
      <c r="F123" s="10">
        <v>42</v>
      </c>
      <c r="G123" s="8">
        <v>72</v>
      </c>
      <c r="H123" s="8" t="s">
        <v>308</v>
      </c>
      <c r="I123" s="10">
        <v>43</v>
      </c>
      <c r="J123" s="8">
        <v>60</v>
      </c>
      <c r="K123" s="8" t="s">
        <v>312</v>
      </c>
      <c r="L123" s="10">
        <v>41</v>
      </c>
      <c r="M123" s="8">
        <v>53</v>
      </c>
      <c r="N123" s="8" t="s">
        <v>312</v>
      </c>
      <c r="O123" s="10">
        <v>44</v>
      </c>
      <c r="P123" s="8">
        <v>80</v>
      </c>
      <c r="Q123" s="8" t="s">
        <v>308</v>
      </c>
      <c r="R123" s="8" t="s">
        <v>307</v>
      </c>
      <c r="S123" s="8">
        <f t="shared" si="6"/>
        <v>349</v>
      </c>
      <c r="T123" s="11">
        <f t="shared" si="7"/>
        <v>69.8</v>
      </c>
    </row>
    <row r="124" spans="1:20" x14ac:dyDescent="0.25">
      <c r="A124" s="8">
        <v>23606006</v>
      </c>
      <c r="B124" s="9" t="s">
        <v>434</v>
      </c>
      <c r="C124" s="10">
        <v>301</v>
      </c>
      <c r="D124" s="8">
        <v>58</v>
      </c>
      <c r="E124" s="8" t="s">
        <v>314</v>
      </c>
      <c r="F124" s="10">
        <v>27</v>
      </c>
      <c r="G124" s="8">
        <v>65</v>
      </c>
      <c r="H124" s="8" t="s">
        <v>309</v>
      </c>
      <c r="I124" s="10">
        <v>29</v>
      </c>
      <c r="J124" s="8">
        <v>57</v>
      </c>
      <c r="K124" s="8" t="s">
        <v>312</v>
      </c>
      <c r="L124" s="10">
        <v>34</v>
      </c>
      <c r="M124" s="8">
        <v>82</v>
      </c>
      <c r="N124" s="8" t="s">
        <v>314</v>
      </c>
      <c r="O124" s="10">
        <v>49</v>
      </c>
      <c r="P124" s="8">
        <v>87</v>
      </c>
      <c r="Q124" s="8" t="s">
        <v>313</v>
      </c>
      <c r="R124" s="8" t="s">
        <v>307</v>
      </c>
      <c r="S124" s="8">
        <f t="shared" si="6"/>
        <v>349</v>
      </c>
      <c r="T124" s="11">
        <f t="shared" si="7"/>
        <v>69.8</v>
      </c>
    </row>
    <row r="125" spans="1:20" x14ac:dyDescent="0.25">
      <c r="A125" s="8">
        <v>23606012</v>
      </c>
      <c r="B125" s="9" t="s">
        <v>440</v>
      </c>
      <c r="C125" s="10">
        <v>301</v>
      </c>
      <c r="D125" s="8">
        <v>93</v>
      </c>
      <c r="E125" s="8" t="s">
        <v>305</v>
      </c>
      <c r="F125" s="10">
        <v>27</v>
      </c>
      <c r="G125" s="8">
        <v>72</v>
      </c>
      <c r="H125" s="8" t="s">
        <v>308</v>
      </c>
      <c r="I125" s="10">
        <v>29</v>
      </c>
      <c r="J125" s="8">
        <v>73</v>
      </c>
      <c r="K125" s="8" t="s">
        <v>308</v>
      </c>
      <c r="L125" s="10">
        <v>41</v>
      </c>
      <c r="M125" s="8">
        <v>44</v>
      </c>
      <c r="N125" s="8" t="s">
        <v>310</v>
      </c>
      <c r="O125" s="10">
        <v>83</v>
      </c>
      <c r="P125" s="8">
        <v>66</v>
      </c>
      <c r="Q125" s="8" t="s">
        <v>312</v>
      </c>
      <c r="R125" s="8" t="s">
        <v>307</v>
      </c>
      <c r="S125" s="8">
        <f t="shared" si="6"/>
        <v>348</v>
      </c>
      <c r="T125" s="11">
        <f t="shared" si="7"/>
        <v>69.599999999999994</v>
      </c>
    </row>
    <row r="126" spans="1:20" x14ac:dyDescent="0.25">
      <c r="A126" s="8">
        <v>23605916</v>
      </c>
      <c r="B126" s="9" t="s">
        <v>345</v>
      </c>
      <c r="C126" s="10">
        <v>301</v>
      </c>
      <c r="D126" s="8">
        <v>90</v>
      </c>
      <c r="E126" s="8" t="s">
        <v>306</v>
      </c>
      <c r="F126" s="10">
        <v>42</v>
      </c>
      <c r="G126" s="8">
        <v>62</v>
      </c>
      <c r="H126" s="8" t="s">
        <v>313</v>
      </c>
      <c r="I126" s="10">
        <v>43</v>
      </c>
      <c r="J126" s="8">
        <v>59</v>
      </c>
      <c r="K126" s="8" t="s">
        <v>312</v>
      </c>
      <c r="L126" s="10">
        <v>41</v>
      </c>
      <c r="M126" s="8">
        <v>53</v>
      </c>
      <c r="N126" s="8" t="s">
        <v>312</v>
      </c>
      <c r="O126" s="10">
        <v>48</v>
      </c>
      <c r="P126" s="8">
        <v>82</v>
      </c>
      <c r="Q126" s="8" t="s">
        <v>308</v>
      </c>
      <c r="R126" s="8" t="s">
        <v>307</v>
      </c>
      <c r="S126" s="8">
        <f t="shared" si="6"/>
        <v>346</v>
      </c>
      <c r="T126" s="11">
        <f t="shared" si="7"/>
        <v>69.2</v>
      </c>
    </row>
    <row r="127" spans="1:20" x14ac:dyDescent="0.25">
      <c r="A127" s="8">
        <v>23605986</v>
      </c>
      <c r="B127" s="9" t="s">
        <v>415</v>
      </c>
      <c r="C127" s="10">
        <v>301</v>
      </c>
      <c r="D127" s="8">
        <v>83</v>
      </c>
      <c r="E127" s="8" t="s">
        <v>308</v>
      </c>
      <c r="F127" s="10">
        <v>55</v>
      </c>
      <c r="G127" s="8">
        <v>42</v>
      </c>
      <c r="H127" s="8" t="s">
        <v>310</v>
      </c>
      <c r="I127" s="10">
        <v>54</v>
      </c>
      <c r="J127" s="8">
        <v>54</v>
      </c>
      <c r="K127" s="8" t="s">
        <v>312</v>
      </c>
      <c r="L127" s="10">
        <v>49</v>
      </c>
      <c r="M127" s="8">
        <v>94</v>
      </c>
      <c r="N127" s="8" t="s">
        <v>306</v>
      </c>
      <c r="O127" s="10">
        <v>30</v>
      </c>
      <c r="P127" s="8">
        <v>71</v>
      </c>
      <c r="Q127" s="8" t="s">
        <v>309</v>
      </c>
      <c r="R127" s="8" t="s">
        <v>307</v>
      </c>
      <c r="S127" s="8">
        <f t="shared" si="6"/>
        <v>344</v>
      </c>
      <c r="T127" s="11">
        <f t="shared" si="7"/>
        <v>68.8</v>
      </c>
    </row>
    <row r="128" spans="1:20" x14ac:dyDescent="0.25">
      <c r="A128" s="8">
        <v>23605947</v>
      </c>
      <c r="B128" s="9" t="s">
        <v>375</v>
      </c>
      <c r="C128" s="10">
        <v>301</v>
      </c>
      <c r="D128" s="8">
        <v>65</v>
      </c>
      <c r="E128" s="8" t="s">
        <v>312</v>
      </c>
      <c r="F128" s="10">
        <v>42</v>
      </c>
      <c r="G128" s="8">
        <v>65</v>
      </c>
      <c r="H128" s="8" t="s">
        <v>309</v>
      </c>
      <c r="I128" s="10">
        <v>43</v>
      </c>
      <c r="J128" s="8">
        <v>58</v>
      </c>
      <c r="K128" s="8" t="s">
        <v>314</v>
      </c>
      <c r="L128" s="10">
        <v>44</v>
      </c>
      <c r="M128" s="8">
        <v>75</v>
      </c>
      <c r="N128" s="8" t="s">
        <v>309</v>
      </c>
      <c r="O128" s="10">
        <v>49</v>
      </c>
      <c r="P128" s="8">
        <v>80</v>
      </c>
      <c r="Q128" s="8" t="s">
        <v>314</v>
      </c>
      <c r="R128" s="8" t="s">
        <v>307</v>
      </c>
      <c r="S128" s="8">
        <f t="shared" si="6"/>
        <v>343</v>
      </c>
      <c r="T128" s="11">
        <f t="shared" si="7"/>
        <v>68.599999999999994</v>
      </c>
    </row>
    <row r="129" spans="1:20" x14ac:dyDescent="0.25">
      <c r="A129" s="8">
        <v>23605974</v>
      </c>
      <c r="B129" s="9" t="s">
        <v>403</v>
      </c>
      <c r="C129" s="10">
        <v>301</v>
      </c>
      <c r="D129" s="8">
        <v>82</v>
      </c>
      <c r="E129" s="8" t="s">
        <v>308</v>
      </c>
      <c r="F129" s="10">
        <v>55</v>
      </c>
      <c r="G129" s="8">
        <v>65</v>
      </c>
      <c r="H129" s="8" t="s">
        <v>309</v>
      </c>
      <c r="I129" s="10">
        <v>54</v>
      </c>
      <c r="J129" s="8">
        <v>67</v>
      </c>
      <c r="K129" s="8" t="s">
        <v>309</v>
      </c>
      <c r="L129" s="10">
        <v>41</v>
      </c>
      <c r="M129" s="8">
        <v>54</v>
      </c>
      <c r="N129" s="8" t="s">
        <v>312</v>
      </c>
      <c r="O129" s="10">
        <v>30</v>
      </c>
      <c r="P129" s="8">
        <v>74</v>
      </c>
      <c r="Q129" s="8" t="s">
        <v>308</v>
      </c>
      <c r="R129" s="8" t="s">
        <v>307</v>
      </c>
      <c r="S129" s="8">
        <f t="shared" si="6"/>
        <v>342</v>
      </c>
      <c r="T129" s="11">
        <f t="shared" si="7"/>
        <v>68.400000000000006</v>
      </c>
    </row>
    <row r="130" spans="1:20" x14ac:dyDescent="0.25">
      <c r="A130" s="8">
        <v>23606021</v>
      </c>
      <c r="B130" s="9" t="s">
        <v>448</v>
      </c>
      <c r="C130" s="10">
        <v>301</v>
      </c>
      <c r="D130" s="8">
        <v>74</v>
      </c>
      <c r="E130" s="8" t="s">
        <v>313</v>
      </c>
      <c r="F130" s="10">
        <v>27</v>
      </c>
      <c r="G130" s="8">
        <v>52</v>
      </c>
      <c r="H130" s="8" t="s">
        <v>312</v>
      </c>
      <c r="I130" s="10">
        <v>29</v>
      </c>
      <c r="J130" s="8">
        <v>58</v>
      </c>
      <c r="K130" s="8" t="s">
        <v>312</v>
      </c>
      <c r="L130" s="10">
        <v>48</v>
      </c>
      <c r="M130" s="8">
        <v>66</v>
      </c>
      <c r="N130" s="8" t="s">
        <v>312</v>
      </c>
      <c r="O130" s="10">
        <v>49</v>
      </c>
      <c r="P130" s="8">
        <v>88</v>
      </c>
      <c r="Q130" s="8" t="s">
        <v>313</v>
      </c>
      <c r="R130" s="8" t="s">
        <v>307</v>
      </c>
      <c r="S130" s="8">
        <f t="shared" ref="S130:S146" si="8">D130+G130+J130+M130+P130</f>
        <v>338</v>
      </c>
      <c r="T130" s="11">
        <f t="shared" ref="T130:T146" si="9">S130/5</f>
        <v>67.599999999999994</v>
      </c>
    </row>
    <row r="131" spans="1:20" x14ac:dyDescent="0.25">
      <c r="A131" s="8">
        <v>23605987</v>
      </c>
      <c r="B131" s="9" t="s">
        <v>416</v>
      </c>
      <c r="C131" s="10">
        <v>301</v>
      </c>
      <c r="D131" s="8">
        <v>82</v>
      </c>
      <c r="E131" s="8" t="s">
        <v>308</v>
      </c>
      <c r="F131" s="10">
        <v>55</v>
      </c>
      <c r="G131" s="8">
        <v>51</v>
      </c>
      <c r="H131" s="8" t="s">
        <v>312</v>
      </c>
      <c r="I131" s="10">
        <v>54</v>
      </c>
      <c r="J131" s="8">
        <v>62</v>
      </c>
      <c r="K131" s="8" t="s">
        <v>313</v>
      </c>
      <c r="L131" s="10">
        <v>37</v>
      </c>
      <c r="M131" s="8">
        <v>62</v>
      </c>
      <c r="N131" s="8" t="s">
        <v>312</v>
      </c>
      <c r="O131" s="10">
        <v>30</v>
      </c>
      <c r="P131" s="8">
        <v>80</v>
      </c>
      <c r="Q131" s="8" t="s">
        <v>308</v>
      </c>
      <c r="R131" s="8" t="s">
        <v>307</v>
      </c>
      <c r="S131" s="8">
        <f t="shared" si="8"/>
        <v>337</v>
      </c>
      <c r="T131" s="11">
        <f t="shared" si="9"/>
        <v>67.400000000000006</v>
      </c>
    </row>
    <row r="132" spans="1:20" x14ac:dyDescent="0.25">
      <c r="A132" s="8">
        <v>23605981</v>
      </c>
      <c r="B132" s="9" t="s">
        <v>410</v>
      </c>
      <c r="C132" s="10">
        <v>301</v>
      </c>
      <c r="D132" s="8">
        <v>73</v>
      </c>
      <c r="E132" s="8" t="s">
        <v>313</v>
      </c>
      <c r="F132" s="10">
        <v>55</v>
      </c>
      <c r="G132" s="8">
        <v>61</v>
      </c>
      <c r="H132" s="8" t="s">
        <v>313</v>
      </c>
      <c r="I132" s="10">
        <v>54</v>
      </c>
      <c r="J132" s="8">
        <v>74</v>
      </c>
      <c r="K132" s="8" t="s">
        <v>308</v>
      </c>
      <c r="L132" s="10">
        <v>37</v>
      </c>
      <c r="M132" s="8">
        <v>65</v>
      </c>
      <c r="N132" s="8" t="s">
        <v>312</v>
      </c>
      <c r="O132" s="10">
        <v>30</v>
      </c>
      <c r="P132" s="8">
        <v>63</v>
      </c>
      <c r="Q132" s="8" t="s">
        <v>313</v>
      </c>
      <c r="R132" s="8" t="s">
        <v>307</v>
      </c>
      <c r="S132" s="8">
        <f t="shared" si="8"/>
        <v>336</v>
      </c>
      <c r="T132" s="11">
        <f t="shared" si="9"/>
        <v>67.2</v>
      </c>
    </row>
    <row r="133" spans="1:20" x14ac:dyDescent="0.25">
      <c r="A133" s="8">
        <v>23605971</v>
      </c>
      <c r="B133" s="9" t="s">
        <v>400</v>
      </c>
      <c r="C133" s="10">
        <v>301</v>
      </c>
      <c r="D133" s="8">
        <v>72</v>
      </c>
      <c r="E133" s="8" t="s">
        <v>313</v>
      </c>
      <c r="F133" s="10">
        <v>55</v>
      </c>
      <c r="G133" s="8">
        <v>57</v>
      </c>
      <c r="H133" s="8" t="s">
        <v>313</v>
      </c>
      <c r="I133" s="10">
        <v>54</v>
      </c>
      <c r="J133" s="8">
        <v>70</v>
      </c>
      <c r="K133" s="8" t="s">
        <v>309</v>
      </c>
      <c r="L133" s="10">
        <v>37</v>
      </c>
      <c r="M133" s="8">
        <v>63</v>
      </c>
      <c r="N133" s="8" t="s">
        <v>312</v>
      </c>
      <c r="O133" s="10">
        <v>30</v>
      </c>
      <c r="P133" s="8">
        <v>72</v>
      </c>
      <c r="Q133" s="8" t="s">
        <v>309</v>
      </c>
      <c r="R133" s="8" t="s">
        <v>307</v>
      </c>
      <c r="S133" s="8">
        <f t="shared" si="8"/>
        <v>334</v>
      </c>
      <c r="T133" s="11">
        <f t="shared" si="9"/>
        <v>66.8</v>
      </c>
    </row>
    <row r="134" spans="1:20" x14ac:dyDescent="0.25">
      <c r="A134" s="8">
        <v>23606016</v>
      </c>
      <c r="B134" s="9" t="s">
        <v>443</v>
      </c>
      <c r="C134" s="10">
        <v>301</v>
      </c>
      <c r="D134" s="8">
        <v>46</v>
      </c>
      <c r="E134" s="8" t="s">
        <v>310</v>
      </c>
      <c r="F134" s="10">
        <v>27</v>
      </c>
      <c r="G134" s="8">
        <v>52</v>
      </c>
      <c r="H134" s="8" t="s">
        <v>312</v>
      </c>
      <c r="I134" s="10">
        <v>29</v>
      </c>
      <c r="J134" s="8">
        <v>61</v>
      </c>
      <c r="K134" s="8" t="s">
        <v>313</v>
      </c>
      <c r="L134" s="10">
        <v>49</v>
      </c>
      <c r="M134" s="8">
        <v>89</v>
      </c>
      <c r="N134" s="8" t="s">
        <v>309</v>
      </c>
      <c r="O134" s="10">
        <v>34</v>
      </c>
      <c r="P134" s="8">
        <v>80</v>
      </c>
      <c r="Q134" s="8" t="s">
        <v>314</v>
      </c>
      <c r="R134" s="8" t="s">
        <v>307</v>
      </c>
      <c r="S134" s="8">
        <f t="shared" si="8"/>
        <v>328</v>
      </c>
      <c r="T134" s="11">
        <f t="shared" si="9"/>
        <v>65.599999999999994</v>
      </c>
    </row>
    <row r="135" spans="1:20" x14ac:dyDescent="0.25">
      <c r="A135" s="8">
        <v>23606024</v>
      </c>
      <c r="B135" s="9" t="s">
        <v>451</v>
      </c>
      <c r="C135" s="10">
        <v>301</v>
      </c>
      <c r="D135" s="8">
        <v>87</v>
      </c>
      <c r="E135" s="8" t="s">
        <v>306</v>
      </c>
      <c r="F135" s="10">
        <v>27</v>
      </c>
      <c r="G135" s="8">
        <v>60</v>
      </c>
      <c r="H135" s="8" t="s">
        <v>313</v>
      </c>
      <c r="I135" s="10">
        <v>29</v>
      </c>
      <c r="J135" s="8">
        <v>67</v>
      </c>
      <c r="K135" s="8" t="s">
        <v>309</v>
      </c>
      <c r="L135" s="10">
        <v>41</v>
      </c>
      <c r="M135" s="8">
        <v>44</v>
      </c>
      <c r="N135" s="8" t="s">
        <v>310</v>
      </c>
      <c r="O135" s="10">
        <v>30</v>
      </c>
      <c r="P135" s="8">
        <v>69</v>
      </c>
      <c r="Q135" s="8" t="s">
        <v>309</v>
      </c>
      <c r="R135" s="8" t="s">
        <v>307</v>
      </c>
      <c r="S135" s="8">
        <f t="shared" si="8"/>
        <v>327</v>
      </c>
      <c r="T135" s="11">
        <f t="shared" si="9"/>
        <v>65.400000000000006</v>
      </c>
    </row>
    <row r="136" spans="1:20" s="19" customFormat="1" x14ac:dyDescent="0.25">
      <c r="A136" s="15">
        <v>23605897</v>
      </c>
      <c r="B136" s="16" t="s">
        <v>326</v>
      </c>
      <c r="C136" s="17">
        <v>301</v>
      </c>
      <c r="D136" s="15">
        <v>94</v>
      </c>
      <c r="E136" s="15" t="s">
        <v>305</v>
      </c>
      <c r="F136" s="17">
        <v>42</v>
      </c>
      <c r="G136" s="15">
        <v>68</v>
      </c>
      <c r="H136" s="15" t="s">
        <v>309</v>
      </c>
      <c r="I136" s="17">
        <v>43</v>
      </c>
      <c r="J136" s="15">
        <v>52</v>
      </c>
      <c r="K136" s="15" t="s">
        <v>310</v>
      </c>
      <c r="L136" s="17">
        <v>41</v>
      </c>
      <c r="M136" s="20">
        <v>27</v>
      </c>
      <c r="N136" s="15" t="s">
        <v>311</v>
      </c>
      <c r="O136" s="17">
        <v>34</v>
      </c>
      <c r="P136" s="15">
        <v>84</v>
      </c>
      <c r="Q136" s="15" t="s">
        <v>312</v>
      </c>
      <c r="R136" s="17" t="s">
        <v>327</v>
      </c>
      <c r="S136" s="15">
        <f t="shared" si="8"/>
        <v>325</v>
      </c>
      <c r="T136" s="18">
        <f t="shared" si="9"/>
        <v>65</v>
      </c>
    </row>
    <row r="137" spans="1:20" x14ac:dyDescent="0.25">
      <c r="A137" s="8">
        <v>23605922</v>
      </c>
      <c r="B137" s="9" t="s">
        <v>351</v>
      </c>
      <c r="C137" s="10">
        <v>301</v>
      </c>
      <c r="D137" s="8">
        <v>83</v>
      </c>
      <c r="E137" s="8" t="s">
        <v>308</v>
      </c>
      <c r="F137" s="10">
        <v>42</v>
      </c>
      <c r="G137" s="8">
        <v>69</v>
      </c>
      <c r="H137" s="8" t="s">
        <v>309</v>
      </c>
      <c r="I137" s="10">
        <v>43</v>
      </c>
      <c r="J137" s="8">
        <v>52</v>
      </c>
      <c r="K137" s="8" t="s">
        <v>310</v>
      </c>
      <c r="L137" s="10">
        <v>41</v>
      </c>
      <c r="M137" s="8">
        <v>44</v>
      </c>
      <c r="N137" s="8" t="s">
        <v>310</v>
      </c>
      <c r="O137" s="10">
        <v>83</v>
      </c>
      <c r="P137" s="8">
        <v>76</v>
      </c>
      <c r="Q137" s="8" t="s">
        <v>313</v>
      </c>
      <c r="R137" s="8" t="s">
        <v>307</v>
      </c>
      <c r="S137" s="8">
        <f t="shared" si="8"/>
        <v>324</v>
      </c>
      <c r="T137" s="11">
        <f t="shared" si="9"/>
        <v>64.8</v>
      </c>
    </row>
    <row r="138" spans="1:20" x14ac:dyDescent="0.25">
      <c r="A138" s="8">
        <v>23605965</v>
      </c>
      <c r="B138" s="9" t="s">
        <v>394</v>
      </c>
      <c r="C138" s="10">
        <v>301</v>
      </c>
      <c r="D138" s="8">
        <v>73</v>
      </c>
      <c r="E138" s="8" t="s">
        <v>313</v>
      </c>
      <c r="F138" s="10">
        <v>55</v>
      </c>
      <c r="G138" s="8">
        <v>37</v>
      </c>
      <c r="H138" s="8" t="s">
        <v>310</v>
      </c>
      <c r="I138" s="10">
        <v>54</v>
      </c>
      <c r="J138" s="8">
        <v>57</v>
      </c>
      <c r="K138" s="8" t="s">
        <v>312</v>
      </c>
      <c r="L138" s="10">
        <v>37</v>
      </c>
      <c r="M138" s="8">
        <v>60</v>
      </c>
      <c r="N138" s="8" t="s">
        <v>314</v>
      </c>
      <c r="O138" s="10">
        <v>34</v>
      </c>
      <c r="P138" s="8">
        <v>96</v>
      </c>
      <c r="Q138" s="8" t="s">
        <v>306</v>
      </c>
      <c r="R138" s="8" t="s">
        <v>307</v>
      </c>
      <c r="S138" s="8">
        <f t="shared" si="8"/>
        <v>323</v>
      </c>
      <c r="T138" s="11">
        <f t="shared" si="9"/>
        <v>64.599999999999994</v>
      </c>
    </row>
    <row r="139" spans="1:20" x14ac:dyDescent="0.25">
      <c r="A139" s="8">
        <v>23605934</v>
      </c>
      <c r="B139" s="9" t="s">
        <v>362</v>
      </c>
      <c r="C139" s="10">
        <v>301</v>
      </c>
      <c r="D139" s="8">
        <v>72</v>
      </c>
      <c r="E139" s="8" t="s">
        <v>313</v>
      </c>
      <c r="F139" s="10">
        <v>42</v>
      </c>
      <c r="G139" s="8">
        <v>71</v>
      </c>
      <c r="H139" s="8" t="s">
        <v>308</v>
      </c>
      <c r="I139" s="10">
        <v>43</v>
      </c>
      <c r="J139" s="8">
        <v>51</v>
      </c>
      <c r="K139" s="8" t="s">
        <v>310</v>
      </c>
      <c r="L139" s="10">
        <v>44</v>
      </c>
      <c r="M139" s="8">
        <v>69</v>
      </c>
      <c r="N139" s="8" t="s">
        <v>313</v>
      </c>
      <c r="O139" s="10">
        <v>37</v>
      </c>
      <c r="P139" s="8">
        <v>57</v>
      </c>
      <c r="Q139" s="8" t="s">
        <v>314</v>
      </c>
      <c r="R139" s="8" t="s">
        <v>307</v>
      </c>
      <c r="S139" s="8">
        <f t="shared" si="8"/>
        <v>320</v>
      </c>
      <c r="T139" s="11">
        <f t="shared" si="9"/>
        <v>64</v>
      </c>
    </row>
    <row r="140" spans="1:20" x14ac:dyDescent="0.25">
      <c r="A140" s="8">
        <v>23605914</v>
      </c>
      <c r="B140" s="9" t="s">
        <v>343</v>
      </c>
      <c r="C140" s="10">
        <v>301</v>
      </c>
      <c r="D140" s="8">
        <v>70</v>
      </c>
      <c r="E140" s="8" t="s">
        <v>313</v>
      </c>
      <c r="F140" s="10">
        <v>42</v>
      </c>
      <c r="G140" s="8">
        <v>55</v>
      </c>
      <c r="H140" s="8" t="s">
        <v>314</v>
      </c>
      <c r="I140" s="10">
        <v>43</v>
      </c>
      <c r="J140" s="8">
        <v>61</v>
      </c>
      <c r="K140" s="8" t="s">
        <v>313</v>
      </c>
      <c r="L140" s="10">
        <v>41</v>
      </c>
      <c r="M140" s="8">
        <v>44</v>
      </c>
      <c r="N140" s="8" t="s">
        <v>310</v>
      </c>
      <c r="O140" s="10">
        <v>48</v>
      </c>
      <c r="P140" s="8">
        <v>87</v>
      </c>
      <c r="Q140" s="8" t="s">
        <v>306</v>
      </c>
      <c r="R140" s="8" t="s">
        <v>307</v>
      </c>
      <c r="S140" s="8">
        <f t="shared" si="8"/>
        <v>317</v>
      </c>
      <c r="T140" s="11">
        <f t="shared" si="9"/>
        <v>63.4</v>
      </c>
    </row>
    <row r="141" spans="1:20" x14ac:dyDescent="0.25">
      <c r="A141" s="8">
        <v>23605949</v>
      </c>
      <c r="B141" s="9" t="s">
        <v>377</v>
      </c>
      <c r="C141" s="10">
        <v>301</v>
      </c>
      <c r="D141" s="8">
        <v>76</v>
      </c>
      <c r="E141" s="8" t="s">
        <v>309</v>
      </c>
      <c r="F141" s="10">
        <v>42</v>
      </c>
      <c r="G141" s="8">
        <v>56</v>
      </c>
      <c r="H141" s="8" t="s">
        <v>312</v>
      </c>
      <c r="I141" s="10">
        <v>43</v>
      </c>
      <c r="J141" s="8">
        <v>63</v>
      </c>
      <c r="K141" s="8" t="s">
        <v>313</v>
      </c>
      <c r="L141" s="10">
        <v>41</v>
      </c>
      <c r="M141" s="8">
        <v>45</v>
      </c>
      <c r="N141" s="8" t="s">
        <v>310</v>
      </c>
      <c r="O141" s="10">
        <v>83</v>
      </c>
      <c r="P141" s="8">
        <v>76</v>
      </c>
      <c r="Q141" s="8" t="s">
        <v>313</v>
      </c>
      <c r="R141" s="8" t="s">
        <v>307</v>
      </c>
      <c r="S141" s="8">
        <f t="shared" si="8"/>
        <v>316</v>
      </c>
      <c r="T141" s="11">
        <f t="shared" si="9"/>
        <v>63.2</v>
      </c>
    </row>
    <row r="142" spans="1:20" s="19" customFormat="1" x14ac:dyDescent="0.25">
      <c r="A142" s="15">
        <v>23605959</v>
      </c>
      <c r="B142" s="16" t="s">
        <v>387</v>
      </c>
      <c r="C142" s="17">
        <v>301</v>
      </c>
      <c r="D142" s="15">
        <v>89</v>
      </c>
      <c r="E142" s="15" t="s">
        <v>306</v>
      </c>
      <c r="F142" s="17">
        <v>55</v>
      </c>
      <c r="G142" s="20">
        <v>23</v>
      </c>
      <c r="H142" s="15" t="s">
        <v>311</v>
      </c>
      <c r="I142" s="17">
        <v>54</v>
      </c>
      <c r="J142" s="15">
        <v>63</v>
      </c>
      <c r="K142" s="15" t="s">
        <v>313</v>
      </c>
      <c r="L142" s="17">
        <v>37</v>
      </c>
      <c r="M142" s="15">
        <v>54</v>
      </c>
      <c r="N142" s="15" t="s">
        <v>310</v>
      </c>
      <c r="O142" s="17">
        <v>30</v>
      </c>
      <c r="P142" s="15">
        <v>81</v>
      </c>
      <c r="Q142" s="15" t="s">
        <v>306</v>
      </c>
      <c r="R142" s="17" t="s">
        <v>388</v>
      </c>
      <c r="S142" s="15">
        <f t="shared" si="8"/>
        <v>310</v>
      </c>
      <c r="T142" s="18">
        <f t="shared" si="9"/>
        <v>62</v>
      </c>
    </row>
    <row r="143" spans="1:20" x14ac:dyDescent="0.25">
      <c r="A143" s="8">
        <v>23606034</v>
      </c>
      <c r="B143" s="9" t="s">
        <v>461</v>
      </c>
      <c r="C143" s="10">
        <v>301</v>
      </c>
      <c r="D143" s="8">
        <v>57</v>
      </c>
      <c r="E143" s="8" t="s">
        <v>314</v>
      </c>
      <c r="F143" s="10">
        <v>27</v>
      </c>
      <c r="G143" s="8">
        <v>55</v>
      </c>
      <c r="H143" s="8" t="s">
        <v>313</v>
      </c>
      <c r="I143" s="10">
        <v>29</v>
      </c>
      <c r="J143" s="8">
        <v>62</v>
      </c>
      <c r="K143" s="8" t="s">
        <v>313</v>
      </c>
      <c r="L143" s="10">
        <v>28</v>
      </c>
      <c r="M143" s="8">
        <v>51</v>
      </c>
      <c r="N143" s="8" t="s">
        <v>312</v>
      </c>
      <c r="O143" s="10">
        <v>49</v>
      </c>
      <c r="P143" s="8">
        <v>78</v>
      </c>
      <c r="Q143" s="8" t="s">
        <v>314</v>
      </c>
      <c r="R143" s="8" t="s">
        <v>307</v>
      </c>
      <c r="S143" s="8">
        <f t="shared" si="8"/>
        <v>303</v>
      </c>
      <c r="T143" s="11">
        <f t="shared" si="9"/>
        <v>60.6</v>
      </c>
    </row>
    <row r="144" spans="1:20" s="19" customFormat="1" x14ac:dyDescent="0.25">
      <c r="A144" s="15">
        <v>23605901</v>
      </c>
      <c r="B144" s="16" t="s">
        <v>331</v>
      </c>
      <c r="C144" s="17">
        <v>301</v>
      </c>
      <c r="D144" s="15">
        <v>87</v>
      </c>
      <c r="E144" s="15" t="s">
        <v>306</v>
      </c>
      <c r="F144" s="17">
        <v>42</v>
      </c>
      <c r="G144" s="15">
        <v>62</v>
      </c>
      <c r="H144" s="15" t="s">
        <v>313</v>
      </c>
      <c r="I144" s="17">
        <v>43</v>
      </c>
      <c r="J144" s="15">
        <v>53</v>
      </c>
      <c r="K144" s="15" t="s">
        <v>314</v>
      </c>
      <c r="L144" s="17">
        <v>41</v>
      </c>
      <c r="M144" s="20">
        <v>29</v>
      </c>
      <c r="N144" s="15" t="s">
        <v>311</v>
      </c>
      <c r="O144" s="17">
        <v>83</v>
      </c>
      <c r="P144" s="15">
        <v>60</v>
      </c>
      <c r="Q144" s="15" t="s">
        <v>314</v>
      </c>
      <c r="R144" s="17" t="s">
        <v>327</v>
      </c>
      <c r="S144" s="15">
        <f t="shared" si="8"/>
        <v>291</v>
      </c>
      <c r="T144" s="18">
        <f t="shared" si="9"/>
        <v>58.2</v>
      </c>
    </row>
    <row r="145" spans="1:20" s="19" customFormat="1" x14ac:dyDescent="0.25">
      <c r="A145" s="15">
        <v>23605958</v>
      </c>
      <c r="B145" s="16" t="s">
        <v>386</v>
      </c>
      <c r="C145" s="17">
        <v>301</v>
      </c>
      <c r="D145" s="15">
        <v>78</v>
      </c>
      <c r="E145" s="15" t="s">
        <v>309</v>
      </c>
      <c r="F145" s="17">
        <v>55</v>
      </c>
      <c r="G145" s="15">
        <v>39</v>
      </c>
      <c r="H145" s="15" t="s">
        <v>310</v>
      </c>
      <c r="I145" s="17">
        <v>54</v>
      </c>
      <c r="J145" s="15">
        <v>54</v>
      </c>
      <c r="K145" s="15" t="s">
        <v>312</v>
      </c>
      <c r="L145" s="17">
        <v>41</v>
      </c>
      <c r="M145" s="20">
        <v>28</v>
      </c>
      <c r="N145" s="15" t="s">
        <v>311</v>
      </c>
      <c r="O145" s="17">
        <v>30</v>
      </c>
      <c r="P145" s="15">
        <v>59</v>
      </c>
      <c r="Q145" s="15" t="s">
        <v>312</v>
      </c>
      <c r="R145" s="17" t="s">
        <v>327</v>
      </c>
      <c r="S145" s="15">
        <f t="shared" si="8"/>
        <v>258</v>
      </c>
      <c r="T145" s="18">
        <f t="shared" si="9"/>
        <v>51.6</v>
      </c>
    </row>
    <row r="146" spans="1:20" s="19" customFormat="1" x14ac:dyDescent="0.25">
      <c r="A146" s="15">
        <v>23605992</v>
      </c>
      <c r="B146" s="16" t="s">
        <v>371</v>
      </c>
      <c r="C146" s="17">
        <v>301</v>
      </c>
      <c r="D146" s="20">
        <v>29</v>
      </c>
      <c r="E146" s="15" t="s">
        <v>311</v>
      </c>
      <c r="F146" s="17">
        <v>55</v>
      </c>
      <c r="G146" s="20">
        <v>16</v>
      </c>
      <c r="H146" s="15" t="s">
        <v>311</v>
      </c>
      <c r="I146" s="17">
        <v>54</v>
      </c>
      <c r="J146" s="20">
        <v>29</v>
      </c>
      <c r="K146" s="15" t="s">
        <v>311</v>
      </c>
      <c r="L146" s="17">
        <v>37</v>
      </c>
      <c r="M146" s="15">
        <v>55</v>
      </c>
      <c r="N146" s="15" t="s">
        <v>310</v>
      </c>
      <c r="O146" s="17">
        <v>34</v>
      </c>
      <c r="P146" s="15">
        <v>72</v>
      </c>
      <c r="Q146" s="15" t="s">
        <v>311</v>
      </c>
      <c r="R146" s="17" t="s">
        <v>421</v>
      </c>
      <c r="S146" s="15">
        <f t="shared" si="8"/>
        <v>201</v>
      </c>
      <c r="T146" s="18">
        <f t="shared" si="9"/>
        <v>40.200000000000003</v>
      </c>
    </row>
    <row r="147" spans="1:20" ht="18.75" x14ac:dyDescent="0.3">
      <c r="R147" s="13" t="s">
        <v>473</v>
      </c>
      <c r="S147" s="13"/>
      <c r="T147" s="94">
        <f>AVERAGE(T2:T146)</f>
        <v>82.04275862068971</v>
      </c>
    </row>
  </sheetData>
  <autoFilter ref="A1:T147" xr:uid="{00000000-0001-0000-0300-000000000000}"/>
  <sortState xmlns:xlrd2="http://schemas.microsoft.com/office/spreadsheetml/2017/richdata2" ref="A2:T146">
    <sortCondition descending="1" ref="T2:T146"/>
  </sortState>
  <pageMargins left="0.7" right="0.7" top="0.75" bottom="0.75" header="0.3" footer="0.3"/>
  <pageSetup paperSize="8" orientation="landscape" verticalDpi="0" r:id="rId1"/>
  <headerFooter>
    <oddHeader>&amp;LJB Academy&amp;CResult AISSCE 2023 &amp;R&amp;P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A8A20-963E-4E1B-91BE-477849C55050}">
  <dimension ref="A1:U146"/>
  <sheetViews>
    <sheetView workbookViewId="0">
      <selection activeCell="A2" sqref="A2"/>
    </sheetView>
  </sheetViews>
  <sheetFormatPr defaultRowHeight="15" x14ac:dyDescent="0.25"/>
  <cols>
    <col min="1" max="1" width="11.28515625" customWidth="1"/>
  </cols>
  <sheetData>
    <row r="1" spans="1:21" ht="18.75" x14ac:dyDescent="0.3">
      <c r="A1" s="87">
        <v>301</v>
      </c>
      <c r="B1" s="87">
        <v>27</v>
      </c>
      <c r="C1" s="87">
        <v>29</v>
      </c>
      <c r="D1" s="87">
        <v>42</v>
      </c>
      <c r="E1" s="87">
        <v>43</v>
      </c>
      <c r="F1" s="87">
        <v>55</v>
      </c>
      <c r="G1" s="87">
        <v>54</v>
      </c>
      <c r="H1" s="87">
        <v>28</v>
      </c>
      <c r="I1" s="87">
        <v>30</v>
      </c>
      <c r="J1" s="87">
        <v>34</v>
      </c>
      <c r="K1" s="87">
        <v>37</v>
      </c>
      <c r="L1" s="87">
        <v>41</v>
      </c>
      <c r="M1" s="87">
        <v>44</v>
      </c>
      <c r="N1" s="87">
        <v>302</v>
      </c>
      <c r="O1" s="87">
        <v>49</v>
      </c>
      <c r="Q1" s="87">
        <v>48</v>
      </c>
      <c r="S1" s="87">
        <v>83</v>
      </c>
      <c r="U1" s="87">
        <v>36</v>
      </c>
    </row>
    <row r="2" spans="1:21" x14ac:dyDescent="0.25">
      <c r="A2" s="6">
        <v>98</v>
      </c>
      <c r="B2" s="6">
        <v>100</v>
      </c>
      <c r="C2" s="6">
        <v>99</v>
      </c>
      <c r="D2" s="6">
        <v>98</v>
      </c>
      <c r="E2" s="6">
        <v>98</v>
      </c>
      <c r="F2" s="6">
        <v>100</v>
      </c>
      <c r="G2" s="6">
        <v>100</v>
      </c>
      <c r="H2" s="6">
        <v>100</v>
      </c>
      <c r="I2" s="6">
        <v>100</v>
      </c>
      <c r="J2" s="8">
        <v>100</v>
      </c>
      <c r="K2" s="6">
        <v>99</v>
      </c>
      <c r="L2" s="6">
        <v>98</v>
      </c>
      <c r="M2" s="8">
        <v>96</v>
      </c>
      <c r="N2" s="8">
        <v>94</v>
      </c>
      <c r="O2" s="6">
        <v>98</v>
      </c>
      <c r="Q2" s="8">
        <v>99</v>
      </c>
      <c r="S2" s="6">
        <v>98</v>
      </c>
      <c r="U2" s="8">
        <v>98</v>
      </c>
    </row>
    <row r="3" spans="1:21" x14ac:dyDescent="0.25">
      <c r="A3" s="6">
        <v>98</v>
      </c>
      <c r="B3" s="6">
        <v>99</v>
      </c>
      <c r="C3" s="6">
        <v>98</v>
      </c>
      <c r="D3" s="6">
        <v>95</v>
      </c>
      <c r="E3" s="6">
        <v>98</v>
      </c>
      <c r="F3" s="6">
        <v>99</v>
      </c>
      <c r="G3" s="6">
        <v>99</v>
      </c>
      <c r="H3" s="6">
        <v>99</v>
      </c>
      <c r="I3" s="6">
        <v>100</v>
      </c>
      <c r="J3" s="8">
        <v>99</v>
      </c>
      <c r="K3" s="6">
        <v>97</v>
      </c>
      <c r="L3" s="6">
        <v>97</v>
      </c>
      <c r="M3" s="6">
        <v>95</v>
      </c>
      <c r="N3" s="8">
        <v>94</v>
      </c>
      <c r="O3" s="6">
        <v>98</v>
      </c>
      <c r="Q3" s="6">
        <v>98</v>
      </c>
      <c r="S3" s="6">
        <v>97</v>
      </c>
      <c r="U3" s="8">
        <v>97</v>
      </c>
    </row>
    <row r="4" spans="1:21" x14ac:dyDescent="0.25">
      <c r="A4" s="8">
        <v>98</v>
      </c>
      <c r="B4" s="6">
        <v>99</v>
      </c>
      <c r="C4" s="6">
        <v>97</v>
      </c>
      <c r="D4" s="6">
        <v>95</v>
      </c>
      <c r="E4" s="6">
        <v>95</v>
      </c>
      <c r="F4" s="6">
        <v>99</v>
      </c>
      <c r="G4" s="6">
        <v>99</v>
      </c>
      <c r="H4" s="6">
        <v>98</v>
      </c>
      <c r="I4" s="6">
        <v>99</v>
      </c>
      <c r="J4" s="8">
        <v>98</v>
      </c>
      <c r="K4" s="6">
        <v>97</v>
      </c>
      <c r="L4" s="6">
        <v>95</v>
      </c>
      <c r="M4" s="6">
        <v>95</v>
      </c>
      <c r="N4" s="8">
        <v>91</v>
      </c>
      <c r="O4" s="6">
        <v>97</v>
      </c>
      <c r="Q4" s="6">
        <v>96</v>
      </c>
      <c r="S4" s="6">
        <v>97</v>
      </c>
      <c r="U4" s="8">
        <v>86</v>
      </c>
    </row>
    <row r="5" spans="1:21" x14ac:dyDescent="0.25">
      <c r="A5" s="6">
        <v>97</v>
      </c>
      <c r="B5" s="6">
        <v>97</v>
      </c>
      <c r="C5" s="6">
        <v>97</v>
      </c>
      <c r="D5" s="6">
        <v>95</v>
      </c>
      <c r="E5" s="6">
        <v>95</v>
      </c>
      <c r="F5" s="6">
        <v>98</v>
      </c>
      <c r="G5" s="6">
        <v>98</v>
      </c>
      <c r="H5" s="6">
        <v>96</v>
      </c>
      <c r="I5" s="6">
        <v>98</v>
      </c>
      <c r="J5" s="8">
        <v>97</v>
      </c>
      <c r="K5" s="6">
        <v>96</v>
      </c>
      <c r="L5" s="6">
        <v>95</v>
      </c>
      <c r="M5" s="8">
        <v>95</v>
      </c>
      <c r="N5" s="8">
        <v>90</v>
      </c>
      <c r="O5" s="8">
        <v>97</v>
      </c>
      <c r="Q5" s="6">
        <v>96</v>
      </c>
      <c r="S5" s="8">
        <v>94</v>
      </c>
      <c r="U5" s="8">
        <v>93</v>
      </c>
    </row>
    <row r="6" spans="1:21" x14ac:dyDescent="0.25">
      <c r="A6" s="6">
        <v>97</v>
      </c>
      <c r="B6" s="6">
        <v>96</v>
      </c>
      <c r="C6" s="6">
        <v>97</v>
      </c>
      <c r="D6" s="6">
        <v>95</v>
      </c>
      <c r="E6" s="6">
        <v>95</v>
      </c>
      <c r="F6" s="6">
        <v>97</v>
      </c>
      <c r="G6" s="6">
        <v>98</v>
      </c>
      <c r="H6" s="8">
        <v>95</v>
      </c>
      <c r="I6" s="6">
        <v>98</v>
      </c>
      <c r="J6" s="8">
        <v>96</v>
      </c>
      <c r="K6" s="6">
        <v>96</v>
      </c>
      <c r="L6" s="6">
        <v>95</v>
      </c>
      <c r="M6" s="6">
        <v>94</v>
      </c>
      <c r="N6" s="6">
        <v>88</v>
      </c>
      <c r="O6" s="6">
        <v>97</v>
      </c>
      <c r="Q6" s="6">
        <v>96</v>
      </c>
      <c r="S6" s="8">
        <v>93</v>
      </c>
    </row>
    <row r="7" spans="1:21" x14ac:dyDescent="0.25">
      <c r="A7" s="6">
        <v>97</v>
      </c>
      <c r="B7" s="6">
        <v>96</v>
      </c>
      <c r="C7" s="6">
        <v>97</v>
      </c>
      <c r="D7" s="8">
        <v>95</v>
      </c>
      <c r="E7" s="6">
        <v>95</v>
      </c>
      <c r="F7" s="6">
        <v>97</v>
      </c>
      <c r="G7" s="6">
        <v>98</v>
      </c>
      <c r="H7" s="8">
        <v>94</v>
      </c>
      <c r="I7" s="6">
        <v>98</v>
      </c>
      <c r="J7" s="6">
        <v>95</v>
      </c>
      <c r="K7" s="6">
        <v>95</v>
      </c>
      <c r="L7" s="6">
        <v>95</v>
      </c>
      <c r="M7" s="8">
        <v>94</v>
      </c>
      <c r="N7" s="8">
        <v>87</v>
      </c>
      <c r="O7" s="6">
        <v>96</v>
      </c>
      <c r="Q7" s="8">
        <v>96</v>
      </c>
      <c r="S7" s="8">
        <v>91</v>
      </c>
    </row>
    <row r="8" spans="1:21" x14ac:dyDescent="0.25">
      <c r="A8" s="6">
        <v>97</v>
      </c>
      <c r="B8" s="8">
        <v>96</v>
      </c>
      <c r="C8" s="6">
        <v>96</v>
      </c>
      <c r="D8" s="8">
        <v>95</v>
      </c>
      <c r="E8" s="6">
        <v>95</v>
      </c>
      <c r="F8" s="6">
        <v>97</v>
      </c>
      <c r="G8" s="6">
        <v>97</v>
      </c>
      <c r="H8" s="6">
        <v>93</v>
      </c>
      <c r="I8" s="6">
        <v>98</v>
      </c>
      <c r="J8" s="8">
        <v>95</v>
      </c>
      <c r="K8" s="6">
        <v>95</v>
      </c>
      <c r="L8" s="6">
        <v>95</v>
      </c>
      <c r="M8" s="8">
        <v>94</v>
      </c>
      <c r="N8" s="8">
        <v>84</v>
      </c>
      <c r="O8" s="8">
        <v>96</v>
      </c>
      <c r="Q8" s="8">
        <v>96</v>
      </c>
      <c r="S8" s="8">
        <v>91</v>
      </c>
    </row>
    <row r="9" spans="1:21" x14ac:dyDescent="0.25">
      <c r="A9" s="6">
        <v>97</v>
      </c>
      <c r="B9" s="6">
        <v>95</v>
      </c>
      <c r="C9" s="6">
        <v>95</v>
      </c>
      <c r="D9" s="8">
        <v>95</v>
      </c>
      <c r="E9" s="6">
        <v>95</v>
      </c>
      <c r="F9" s="6">
        <v>96</v>
      </c>
      <c r="G9" s="8">
        <v>96</v>
      </c>
      <c r="H9" s="8">
        <v>91</v>
      </c>
      <c r="I9" s="6">
        <v>98</v>
      </c>
      <c r="J9" s="8">
        <v>89</v>
      </c>
      <c r="K9" s="6">
        <v>95</v>
      </c>
      <c r="L9" s="6">
        <v>94</v>
      </c>
      <c r="M9" s="8">
        <v>94</v>
      </c>
      <c r="N9" s="8">
        <v>82</v>
      </c>
      <c r="O9" s="8">
        <v>96</v>
      </c>
      <c r="Q9" s="6">
        <v>95</v>
      </c>
      <c r="S9" s="8">
        <v>88</v>
      </c>
    </row>
    <row r="10" spans="1:21" x14ac:dyDescent="0.25">
      <c r="A10" s="6">
        <v>97</v>
      </c>
      <c r="B10" s="6">
        <v>95</v>
      </c>
      <c r="C10" s="6">
        <v>95</v>
      </c>
      <c r="D10" s="8">
        <v>95</v>
      </c>
      <c r="E10" s="6">
        <v>95</v>
      </c>
      <c r="F10" s="6">
        <v>95</v>
      </c>
      <c r="G10" s="6">
        <v>95</v>
      </c>
      <c r="H10" s="8">
        <v>88</v>
      </c>
      <c r="I10" s="6">
        <v>96</v>
      </c>
      <c r="J10" s="15">
        <v>84</v>
      </c>
      <c r="K10" s="6">
        <v>95</v>
      </c>
      <c r="L10" s="6">
        <v>92</v>
      </c>
      <c r="M10" s="8">
        <v>94</v>
      </c>
      <c r="N10" s="8">
        <v>81</v>
      </c>
      <c r="O10" s="6">
        <v>94</v>
      </c>
      <c r="Q10" s="8">
        <v>95</v>
      </c>
      <c r="S10" s="6">
        <v>86</v>
      </c>
    </row>
    <row r="11" spans="1:21" x14ac:dyDescent="0.25">
      <c r="A11" s="8">
        <v>97</v>
      </c>
      <c r="B11" s="6">
        <v>95</v>
      </c>
      <c r="C11" s="6">
        <v>95</v>
      </c>
      <c r="D11" s="8">
        <v>94</v>
      </c>
      <c r="E11" s="8">
        <v>95</v>
      </c>
      <c r="F11" s="6">
        <v>95</v>
      </c>
      <c r="G11" s="6">
        <v>95</v>
      </c>
      <c r="H11" s="6">
        <v>87</v>
      </c>
      <c r="I11" s="6">
        <v>95</v>
      </c>
      <c r="J11" s="8">
        <v>82</v>
      </c>
      <c r="K11" s="6">
        <v>95</v>
      </c>
      <c r="L11" s="6">
        <v>90</v>
      </c>
      <c r="M11" s="8">
        <v>93</v>
      </c>
      <c r="N11" s="8">
        <v>81</v>
      </c>
      <c r="O11" s="8">
        <v>94</v>
      </c>
      <c r="Q11" s="8">
        <v>95</v>
      </c>
      <c r="S11" s="8">
        <v>83</v>
      </c>
    </row>
    <row r="12" spans="1:21" x14ac:dyDescent="0.25">
      <c r="A12" s="6">
        <v>96</v>
      </c>
      <c r="B12" s="6">
        <v>95</v>
      </c>
      <c r="C12" s="8">
        <v>93</v>
      </c>
      <c r="D12" s="6">
        <v>93</v>
      </c>
      <c r="E12" s="8">
        <v>95</v>
      </c>
      <c r="F12" s="8">
        <v>95</v>
      </c>
      <c r="G12" s="6">
        <v>95</v>
      </c>
      <c r="H12" s="6">
        <v>87</v>
      </c>
      <c r="I12" s="8">
        <v>95</v>
      </c>
      <c r="J12" s="8">
        <v>80</v>
      </c>
      <c r="K12" s="8">
        <v>95</v>
      </c>
      <c r="L12" s="6">
        <v>90</v>
      </c>
      <c r="M12" s="8">
        <v>93</v>
      </c>
      <c r="N12" s="6">
        <v>80</v>
      </c>
      <c r="O12" s="8">
        <v>93</v>
      </c>
      <c r="Q12" s="8">
        <v>95</v>
      </c>
      <c r="S12" s="6">
        <v>82</v>
      </c>
    </row>
    <row r="13" spans="1:21" x14ac:dyDescent="0.25">
      <c r="A13" s="8">
        <v>96</v>
      </c>
      <c r="B13" s="6">
        <v>93</v>
      </c>
      <c r="C13" s="6">
        <v>92</v>
      </c>
      <c r="D13" s="6">
        <v>93</v>
      </c>
      <c r="E13" s="6">
        <v>93</v>
      </c>
      <c r="F13" s="8">
        <v>95</v>
      </c>
      <c r="G13" s="6">
        <v>94</v>
      </c>
      <c r="H13" s="8">
        <v>77</v>
      </c>
      <c r="I13" s="6">
        <v>92</v>
      </c>
      <c r="J13" s="8">
        <v>80</v>
      </c>
      <c r="K13" s="6">
        <v>94</v>
      </c>
      <c r="L13" s="8">
        <v>90</v>
      </c>
      <c r="M13" s="8">
        <v>91</v>
      </c>
      <c r="N13" s="8">
        <v>56</v>
      </c>
      <c r="O13" s="6">
        <v>93</v>
      </c>
      <c r="Q13" s="6">
        <v>94</v>
      </c>
      <c r="S13" s="8">
        <v>80</v>
      </c>
    </row>
    <row r="14" spans="1:21" x14ac:dyDescent="0.25">
      <c r="A14" s="8">
        <v>96</v>
      </c>
      <c r="B14" s="6">
        <v>93</v>
      </c>
      <c r="C14" s="6">
        <v>91</v>
      </c>
      <c r="D14" s="8">
        <v>93</v>
      </c>
      <c r="E14" s="6">
        <v>93</v>
      </c>
      <c r="F14" s="8">
        <v>95</v>
      </c>
      <c r="G14" s="8">
        <v>93</v>
      </c>
      <c r="H14" s="8">
        <v>55</v>
      </c>
      <c r="I14" s="6">
        <v>92</v>
      </c>
      <c r="J14" s="15">
        <v>72</v>
      </c>
      <c r="K14" s="8">
        <v>94</v>
      </c>
      <c r="L14" s="6">
        <v>88</v>
      </c>
      <c r="M14" s="8">
        <v>90</v>
      </c>
      <c r="O14" s="8">
        <v>93</v>
      </c>
      <c r="Q14" s="8">
        <v>89</v>
      </c>
      <c r="S14" s="8">
        <v>76</v>
      </c>
    </row>
    <row r="15" spans="1:21" x14ac:dyDescent="0.25">
      <c r="A15" s="6">
        <v>95</v>
      </c>
      <c r="B15" s="8">
        <v>93</v>
      </c>
      <c r="C15" s="6">
        <v>91</v>
      </c>
      <c r="D15" s="8">
        <v>93</v>
      </c>
      <c r="E15" s="8">
        <v>93</v>
      </c>
      <c r="F15" s="6">
        <v>91</v>
      </c>
      <c r="G15" s="8">
        <v>93</v>
      </c>
      <c r="H15" s="8">
        <v>51</v>
      </c>
      <c r="I15" s="8">
        <v>92</v>
      </c>
      <c r="K15" s="8">
        <v>94</v>
      </c>
      <c r="L15" s="6">
        <v>86</v>
      </c>
      <c r="M15" s="8">
        <v>90</v>
      </c>
      <c r="O15" s="8">
        <v>93</v>
      </c>
      <c r="Q15" s="8">
        <v>88</v>
      </c>
      <c r="S15" s="8">
        <v>76</v>
      </c>
    </row>
    <row r="16" spans="1:21" x14ac:dyDescent="0.25">
      <c r="A16" s="6">
        <v>95</v>
      </c>
      <c r="B16" s="8">
        <v>91</v>
      </c>
      <c r="C16" s="8">
        <v>91</v>
      </c>
      <c r="D16" s="8">
        <v>92</v>
      </c>
      <c r="E16" s="8">
        <v>93</v>
      </c>
      <c r="F16" s="8">
        <v>88</v>
      </c>
      <c r="G16" s="8">
        <v>93</v>
      </c>
      <c r="I16" s="6">
        <v>91</v>
      </c>
      <c r="K16" s="8">
        <v>94</v>
      </c>
      <c r="L16" s="8">
        <v>85</v>
      </c>
      <c r="M16" s="8">
        <v>88</v>
      </c>
      <c r="O16" s="8">
        <v>92</v>
      </c>
      <c r="Q16" s="8">
        <v>87</v>
      </c>
      <c r="S16" s="8">
        <v>76</v>
      </c>
    </row>
    <row r="17" spans="1:19" x14ac:dyDescent="0.25">
      <c r="A17" s="6">
        <v>95</v>
      </c>
      <c r="B17" s="6">
        <v>89</v>
      </c>
      <c r="C17" s="8">
        <v>90</v>
      </c>
      <c r="D17" s="6">
        <v>91</v>
      </c>
      <c r="E17" s="8">
        <v>92</v>
      </c>
      <c r="F17" s="8">
        <v>88</v>
      </c>
      <c r="G17" s="8">
        <v>91</v>
      </c>
      <c r="I17" s="6">
        <v>91</v>
      </c>
      <c r="K17" s="8">
        <v>94</v>
      </c>
      <c r="L17" s="6">
        <v>84</v>
      </c>
      <c r="M17" s="8">
        <v>87</v>
      </c>
      <c r="O17" s="8">
        <v>92</v>
      </c>
      <c r="Q17" s="8">
        <v>87</v>
      </c>
      <c r="S17" s="8">
        <v>69</v>
      </c>
    </row>
    <row r="18" spans="1:19" x14ac:dyDescent="0.25">
      <c r="A18" s="6">
        <v>95</v>
      </c>
      <c r="B18" s="6">
        <v>88</v>
      </c>
      <c r="C18" s="6">
        <v>88</v>
      </c>
      <c r="D18" s="8">
        <v>91</v>
      </c>
      <c r="E18" s="8">
        <v>91</v>
      </c>
      <c r="F18" s="8">
        <v>79</v>
      </c>
      <c r="G18" s="8">
        <v>90</v>
      </c>
      <c r="I18" s="8">
        <v>91</v>
      </c>
      <c r="K18" s="6">
        <v>93</v>
      </c>
      <c r="L18" s="8">
        <v>80</v>
      </c>
      <c r="M18" s="6">
        <v>86</v>
      </c>
      <c r="O18" s="8">
        <v>92</v>
      </c>
      <c r="Q18" s="8">
        <v>86</v>
      </c>
      <c r="S18" s="8">
        <v>66</v>
      </c>
    </row>
    <row r="19" spans="1:19" x14ac:dyDescent="0.25">
      <c r="A19" s="6">
        <v>95</v>
      </c>
      <c r="B19" s="6">
        <v>87</v>
      </c>
      <c r="C19" s="8">
        <v>88</v>
      </c>
      <c r="D19" s="8">
        <v>91</v>
      </c>
      <c r="E19" s="6">
        <v>89</v>
      </c>
      <c r="F19" s="8">
        <v>76</v>
      </c>
      <c r="G19" s="8">
        <v>90</v>
      </c>
      <c r="I19" s="8">
        <v>91</v>
      </c>
      <c r="K19" s="6">
        <v>92</v>
      </c>
      <c r="L19" s="8">
        <v>79</v>
      </c>
      <c r="M19" s="8">
        <v>86</v>
      </c>
      <c r="O19" s="8">
        <v>89</v>
      </c>
      <c r="Q19" s="8">
        <v>82</v>
      </c>
      <c r="S19" s="8">
        <v>61</v>
      </c>
    </row>
    <row r="20" spans="1:19" x14ac:dyDescent="0.25">
      <c r="A20" s="8">
        <v>95</v>
      </c>
      <c r="B20" s="8">
        <v>85</v>
      </c>
      <c r="C20" s="8">
        <v>88</v>
      </c>
      <c r="D20" s="8">
        <v>91</v>
      </c>
      <c r="E20" s="8">
        <v>89</v>
      </c>
      <c r="F20" s="8">
        <v>76</v>
      </c>
      <c r="G20" s="8">
        <v>88</v>
      </c>
      <c r="I20" s="6">
        <v>90</v>
      </c>
      <c r="K20" s="6">
        <v>92</v>
      </c>
      <c r="L20" s="8">
        <v>79</v>
      </c>
      <c r="M20" s="8">
        <v>85</v>
      </c>
      <c r="O20" s="8">
        <v>89</v>
      </c>
      <c r="Q20" s="8">
        <v>80</v>
      </c>
      <c r="S20" s="15">
        <v>60</v>
      </c>
    </row>
    <row r="21" spans="1:19" x14ac:dyDescent="0.25">
      <c r="A21" s="8">
        <v>95</v>
      </c>
      <c r="B21" s="8">
        <v>85</v>
      </c>
      <c r="C21" s="8">
        <v>84</v>
      </c>
      <c r="D21" s="8">
        <v>89</v>
      </c>
      <c r="E21" s="8">
        <v>88</v>
      </c>
      <c r="F21" s="8">
        <v>72</v>
      </c>
      <c r="G21" s="8">
        <v>86</v>
      </c>
      <c r="I21" s="8">
        <v>90</v>
      </c>
      <c r="K21" s="8">
        <v>92</v>
      </c>
      <c r="L21" s="8">
        <v>75</v>
      </c>
      <c r="M21" s="8">
        <v>82</v>
      </c>
      <c r="O21" s="8">
        <v>88</v>
      </c>
      <c r="Q21" s="8">
        <v>78</v>
      </c>
    </row>
    <row r="22" spans="1:19" x14ac:dyDescent="0.25">
      <c r="A22" s="8">
        <v>95</v>
      </c>
      <c r="B22" s="8">
        <v>85</v>
      </c>
      <c r="C22" s="6">
        <v>83</v>
      </c>
      <c r="D22" s="6">
        <v>88</v>
      </c>
      <c r="E22" s="8">
        <v>88</v>
      </c>
      <c r="F22" s="8">
        <v>67</v>
      </c>
      <c r="G22" s="8">
        <v>85</v>
      </c>
      <c r="I22" s="8">
        <v>89</v>
      </c>
      <c r="K22" s="8">
        <v>92</v>
      </c>
      <c r="L22" s="8">
        <v>74</v>
      </c>
      <c r="M22" s="8">
        <v>81</v>
      </c>
      <c r="O22" s="8">
        <v>87</v>
      </c>
      <c r="Q22" s="8">
        <v>66</v>
      </c>
    </row>
    <row r="23" spans="1:19" x14ac:dyDescent="0.25">
      <c r="A23" s="8">
        <v>95</v>
      </c>
      <c r="B23" s="8">
        <v>85</v>
      </c>
      <c r="C23" s="8">
        <v>81</v>
      </c>
      <c r="D23" s="6">
        <v>88</v>
      </c>
      <c r="E23" s="8">
        <v>88</v>
      </c>
      <c r="F23" s="8">
        <v>66</v>
      </c>
      <c r="G23" s="8">
        <v>85</v>
      </c>
      <c r="I23" s="8">
        <v>89</v>
      </c>
      <c r="K23" s="8">
        <v>91</v>
      </c>
      <c r="L23" s="8">
        <v>73</v>
      </c>
      <c r="M23" s="8">
        <v>81</v>
      </c>
      <c r="O23" s="8">
        <v>87</v>
      </c>
    </row>
    <row r="24" spans="1:19" x14ac:dyDescent="0.25">
      <c r="A24" s="8">
        <v>95</v>
      </c>
      <c r="B24" s="8">
        <v>85</v>
      </c>
      <c r="C24" s="8">
        <v>81</v>
      </c>
      <c r="D24" s="6">
        <v>88</v>
      </c>
      <c r="E24" s="8">
        <v>88</v>
      </c>
      <c r="F24" s="8">
        <v>65</v>
      </c>
      <c r="G24" s="8">
        <v>85</v>
      </c>
      <c r="I24" s="8">
        <v>89</v>
      </c>
      <c r="K24" s="8">
        <v>90</v>
      </c>
      <c r="L24" s="8">
        <v>71</v>
      </c>
      <c r="M24" s="8">
        <v>80</v>
      </c>
      <c r="O24" s="8">
        <v>84</v>
      </c>
    </row>
    <row r="25" spans="1:19" x14ac:dyDescent="0.25">
      <c r="A25" s="6">
        <v>94</v>
      </c>
      <c r="B25" s="8">
        <v>83</v>
      </c>
      <c r="C25" s="8">
        <v>80</v>
      </c>
      <c r="D25" s="8">
        <v>88</v>
      </c>
      <c r="E25" s="8">
        <v>87</v>
      </c>
      <c r="F25" s="8">
        <v>62</v>
      </c>
      <c r="G25" s="8">
        <v>83</v>
      </c>
      <c r="I25" s="6">
        <v>88</v>
      </c>
      <c r="K25" s="8">
        <v>85</v>
      </c>
      <c r="L25" s="8">
        <v>68</v>
      </c>
      <c r="M25" s="8">
        <v>75</v>
      </c>
      <c r="O25" s="8">
        <v>83</v>
      </c>
    </row>
    <row r="26" spans="1:19" x14ac:dyDescent="0.25">
      <c r="A26" s="6">
        <v>94</v>
      </c>
      <c r="B26" s="8">
        <v>77</v>
      </c>
      <c r="C26" s="8">
        <v>80</v>
      </c>
      <c r="D26" s="8">
        <v>88</v>
      </c>
      <c r="E26" s="8">
        <v>87</v>
      </c>
      <c r="F26" s="8">
        <v>61</v>
      </c>
      <c r="G26" s="8">
        <v>80</v>
      </c>
      <c r="I26" s="8">
        <v>88</v>
      </c>
      <c r="K26" s="8">
        <v>84</v>
      </c>
      <c r="L26" s="8">
        <v>68</v>
      </c>
      <c r="M26" s="8">
        <v>75</v>
      </c>
      <c r="O26" s="8">
        <v>83</v>
      </c>
    </row>
    <row r="27" spans="1:19" x14ac:dyDescent="0.25">
      <c r="A27" s="6">
        <v>94</v>
      </c>
      <c r="B27" s="8">
        <v>74</v>
      </c>
      <c r="C27" s="8">
        <v>77</v>
      </c>
      <c r="D27" s="8">
        <v>88</v>
      </c>
      <c r="E27" s="8">
        <v>86</v>
      </c>
      <c r="F27" s="8">
        <v>60</v>
      </c>
      <c r="G27" s="8">
        <v>74</v>
      </c>
      <c r="I27" s="8">
        <v>88</v>
      </c>
      <c r="K27" s="6">
        <v>83</v>
      </c>
      <c r="L27" s="8">
        <v>67</v>
      </c>
      <c r="M27" s="8">
        <v>69</v>
      </c>
      <c r="O27" s="8">
        <v>80</v>
      </c>
    </row>
    <row r="28" spans="1:19" x14ac:dyDescent="0.25">
      <c r="A28" s="6">
        <v>94</v>
      </c>
      <c r="B28" s="8">
        <v>72</v>
      </c>
      <c r="C28" s="8">
        <v>74</v>
      </c>
      <c r="D28" s="6">
        <v>87</v>
      </c>
      <c r="E28" s="8">
        <v>86</v>
      </c>
      <c r="F28" s="8">
        <v>60</v>
      </c>
      <c r="G28" s="8">
        <v>74</v>
      </c>
      <c r="I28" s="8">
        <v>88</v>
      </c>
      <c r="K28" s="8">
        <v>83</v>
      </c>
      <c r="L28" s="8">
        <v>67</v>
      </c>
      <c r="M28" s="8">
        <v>63</v>
      </c>
      <c r="O28" s="8">
        <v>78</v>
      </c>
    </row>
    <row r="29" spans="1:19" x14ac:dyDescent="0.25">
      <c r="A29" s="6">
        <v>94</v>
      </c>
      <c r="B29" s="8">
        <v>72</v>
      </c>
      <c r="C29" s="8">
        <v>73</v>
      </c>
      <c r="D29" s="8">
        <v>87</v>
      </c>
      <c r="E29" s="8">
        <v>85</v>
      </c>
      <c r="F29" s="8">
        <v>59</v>
      </c>
      <c r="G29" s="8">
        <v>74</v>
      </c>
      <c r="I29" s="8">
        <v>87</v>
      </c>
      <c r="K29" s="6">
        <v>83</v>
      </c>
      <c r="L29" s="8">
        <v>66</v>
      </c>
    </row>
    <row r="30" spans="1:19" x14ac:dyDescent="0.25">
      <c r="A30" s="6">
        <v>94</v>
      </c>
      <c r="B30" s="8">
        <v>71</v>
      </c>
      <c r="C30" s="8">
        <v>73</v>
      </c>
      <c r="D30" s="8">
        <v>87</v>
      </c>
      <c r="E30" s="8">
        <v>85</v>
      </c>
      <c r="F30" s="8">
        <v>58</v>
      </c>
      <c r="G30" s="8">
        <v>70</v>
      </c>
      <c r="I30" s="8">
        <v>86</v>
      </c>
      <c r="K30" s="8">
        <v>82</v>
      </c>
      <c r="L30" s="8">
        <v>66</v>
      </c>
    </row>
    <row r="31" spans="1:19" x14ac:dyDescent="0.25">
      <c r="A31" s="6">
        <v>94</v>
      </c>
      <c r="B31" s="8">
        <v>67</v>
      </c>
      <c r="C31" s="8">
        <v>67</v>
      </c>
      <c r="D31" s="8">
        <v>86</v>
      </c>
      <c r="E31" s="8">
        <v>83</v>
      </c>
      <c r="F31" s="8">
        <v>57</v>
      </c>
      <c r="G31" s="8">
        <v>69</v>
      </c>
      <c r="I31" s="8">
        <v>83</v>
      </c>
      <c r="K31" s="8">
        <v>82</v>
      </c>
      <c r="L31" s="8">
        <v>65</v>
      </c>
    </row>
    <row r="32" spans="1:19" x14ac:dyDescent="0.25">
      <c r="A32" s="8">
        <v>94</v>
      </c>
      <c r="B32" s="8">
        <v>65</v>
      </c>
      <c r="C32" s="8">
        <v>66</v>
      </c>
      <c r="D32" s="8">
        <v>85</v>
      </c>
      <c r="E32" s="8">
        <v>83</v>
      </c>
      <c r="F32" s="8">
        <v>54</v>
      </c>
      <c r="G32" s="8">
        <v>68</v>
      </c>
      <c r="I32" s="8">
        <v>83</v>
      </c>
      <c r="K32" s="8">
        <v>82</v>
      </c>
      <c r="L32" s="8">
        <v>65</v>
      </c>
    </row>
    <row r="33" spans="1:12" x14ac:dyDescent="0.25">
      <c r="A33" s="8">
        <v>94</v>
      </c>
      <c r="B33" s="8">
        <v>62</v>
      </c>
      <c r="C33" s="8">
        <v>66</v>
      </c>
      <c r="D33" s="8">
        <v>85</v>
      </c>
      <c r="E33" s="8">
        <v>82</v>
      </c>
      <c r="F33" s="8">
        <v>53</v>
      </c>
      <c r="G33" s="8">
        <v>67</v>
      </c>
      <c r="I33" s="8">
        <v>82</v>
      </c>
      <c r="K33" s="8">
        <v>81</v>
      </c>
      <c r="L33" s="8">
        <v>65</v>
      </c>
    </row>
    <row r="34" spans="1:12" x14ac:dyDescent="0.25">
      <c r="A34" s="8">
        <v>94</v>
      </c>
      <c r="B34" s="8">
        <v>60</v>
      </c>
      <c r="C34" s="8">
        <v>65</v>
      </c>
      <c r="D34" s="8">
        <v>84</v>
      </c>
      <c r="E34" s="6">
        <v>79</v>
      </c>
      <c r="F34" s="8">
        <v>51</v>
      </c>
      <c r="G34" s="15">
        <v>63</v>
      </c>
      <c r="I34" s="8">
        <v>81</v>
      </c>
      <c r="K34" s="8">
        <v>78</v>
      </c>
      <c r="L34" s="8">
        <v>63</v>
      </c>
    </row>
    <row r="35" spans="1:12" x14ac:dyDescent="0.25">
      <c r="A35" s="8">
        <v>94</v>
      </c>
      <c r="B35" s="8">
        <v>60</v>
      </c>
      <c r="C35" s="8">
        <v>62</v>
      </c>
      <c r="D35" s="8">
        <v>83</v>
      </c>
      <c r="E35" s="8">
        <v>79</v>
      </c>
      <c r="F35" s="8">
        <v>51</v>
      </c>
      <c r="G35" s="8">
        <v>62</v>
      </c>
      <c r="I35" s="15">
        <v>81</v>
      </c>
      <c r="K35" s="8">
        <v>77</v>
      </c>
      <c r="L35" s="8">
        <v>63</v>
      </c>
    </row>
    <row r="36" spans="1:12" x14ac:dyDescent="0.25">
      <c r="A36" s="8">
        <v>94</v>
      </c>
      <c r="B36" s="8">
        <v>55</v>
      </c>
      <c r="C36" s="8">
        <v>61</v>
      </c>
      <c r="D36" s="8">
        <v>82</v>
      </c>
      <c r="E36" s="8">
        <v>77</v>
      </c>
      <c r="F36" s="8">
        <v>42</v>
      </c>
      <c r="G36" s="8">
        <v>62</v>
      </c>
      <c r="I36" s="8">
        <v>80</v>
      </c>
      <c r="K36" s="8">
        <v>76</v>
      </c>
      <c r="L36" s="8">
        <v>63</v>
      </c>
    </row>
    <row r="37" spans="1:12" x14ac:dyDescent="0.25">
      <c r="A37" s="8">
        <v>94</v>
      </c>
      <c r="B37" s="8">
        <v>53</v>
      </c>
      <c r="C37" s="8">
        <v>59</v>
      </c>
      <c r="D37" s="8">
        <v>82</v>
      </c>
      <c r="E37" s="8">
        <v>77</v>
      </c>
      <c r="F37" s="15">
        <v>39</v>
      </c>
      <c r="G37" s="8">
        <v>57</v>
      </c>
      <c r="I37" s="8">
        <v>78</v>
      </c>
      <c r="K37" s="8">
        <v>75</v>
      </c>
      <c r="L37" s="8">
        <v>62</v>
      </c>
    </row>
    <row r="38" spans="1:12" x14ac:dyDescent="0.25">
      <c r="A38" s="8">
        <v>94</v>
      </c>
      <c r="B38" s="8">
        <v>52</v>
      </c>
      <c r="C38" s="8">
        <v>58</v>
      </c>
      <c r="D38" s="8">
        <v>82</v>
      </c>
      <c r="E38" s="8">
        <v>75</v>
      </c>
      <c r="F38" s="8">
        <v>37</v>
      </c>
      <c r="G38" s="8">
        <v>54</v>
      </c>
      <c r="I38" s="8">
        <v>76</v>
      </c>
      <c r="K38" s="8">
        <v>71</v>
      </c>
      <c r="L38" s="8">
        <v>62</v>
      </c>
    </row>
    <row r="39" spans="1:12" x14ac:dyDescent="0.25">
      <c r="A39" s="15">
        <v>94</v>
      </c>
      <c r="B39" s="8">
        <v>52</v>
      </c>
      <c r="C39" s="8">
        <v>57</v>
      </c>
      <c r="D39" s="8">
        <v>80</v>
      </c>
      <c r="E39" s="8">
        <v>75</v>
      </c>
      <c r="F39" s="20">
        <v>23</v>
      </c>
      <c r="G39" s="15">
        <v>54</v>
      </c>
      <c r="I39" s="8">
        <v>76</v>
      </c>
      <c r="K39" s="8">
        <v>69</v>
      </c>
      <c r="L39" s="8">
        <v>61</v>
      </c>
    </row>
    <row r="40" spans="1:12" x14ac:dyDescent="0.25">
      <c r="A40" s="6">
        <v>93</v>
      </c>
      <c r="D40" s="8">
        <v>80</v>
      </c>
      <c r="E40" s="8">
        <v>74</v>
      </c>
      <c r="F40" s="20">
        <v>16</v>
      </c>
      <c r="G40" s="20">
        <v>29</v>
      </c>
      <c r="I40" s="8">
        <v>75</v>
      </c>
      <c r="K40" s="8">
        <v>65</v>
      </c>
      <c r="L40" s="8">
        <v>61</v>
      </c>
    </row>
    <row r="41" spans="1:12" x14ac:dyDescent="0.25">
      <c r="A41" s="6">
        <v>93</v>
      </c>
      <c r="D41" s="8">
        <v>79</v>
      </c>
      <c r="E41" s="8">
        <v>74</v>
      </c>
      <c r="I41" s="8">
        <v>74</v>
      </c>
      <c r="K41" s="8">
        <v>65</v>
      </c>
      <c r="L41" s="8">
        <v>60</v>
      </c>
    </row>
    <row r="42" spans="1:12" x14ac:dyDescent="0.25">
      <c r="A42" s="6">
        <v>93</v>
      </c>
      <c r="D42" s="8">
        <v>79</v>
      </c>
      <c r="E42" s="8">
        <v>74</v>
      </c>
      <c r="I42" s="8">
        <v>74</v>
      </c>
      <c r="K42" s="8">
        <v>65</v>
      </c>
      <c r="L42" s="8">
        <v>57</v>
      </c>
    </row>
    <row r="43" spans="1:12" x14ac:dyDescent="0.25">
      <c r="A43" s="6">
        <v>93</v>
      </c>
      <c r="D43" s="8">
        <v>79</v>
      </c>
      <c r="E43" s="8">
        <v>73</v>
      </c>
      <c r="I43" s="8">
        <v>72</v>
      </c>
      <c r="K43" s="8">
        <v>64</v>
      </c>
      <c r="L43" s="8">
        <v>55</v>
      </c>
    </row>
    <row r="44" spans="1:12" x14ac:dyDescent="0.25">
      <c r="A44" s="6">
        <v>93</v>
      </c>
      <c r="D44" s="8">
        <v>78</v>
      </c>
      <c r="E44" s="8">
        <v>72</v>
      </c>
      <c r="I44" s="8">
        <v>71</v>
      </c>
      <c r="K44" s="8">
        <v>63</v>
      </c>
      <c r="L44" s="8">
        <v>54</v>
      </c>
    </row>
    <row r="45" spans="1:12" x14ac:dyDescent="0.25">
      <c r="A45" s="8">
        <v>93</v>
      </c>
      <c r="D45" s="8">
        <v>78</v>
      </c>
      <c r="E45" s="8">
        <v>72</v>
      </c>
      <c r="I45" s="8">
        <v>69</v>
      </c>
      <c r="K45" s="8">
        <v>62</v>
      </c>
      <c r="L45" s="8">
        <v>53</v>
      </c>
    </row>
    <row r="46" spans="1:12" x14ac:dyDescent="0.25">
      <c r="A46" s="8">
        <v>93</v>
      </c>
      <c r="D46" s="8">
        <v>78</v>
      </c>
      <c r="E46" s="8">
        <v>70</v>
      </c>
      <c r="I46" s="8">
        <v>63</v>
      </c>
      <c r="K46" s="8">
        <v>60</v>
      </c>
      <c r="L46" s="8">
        <v>53</v>
      </c>
    </row>
    <row r="47" spans="1:12" x14ac:dyDescent="0.25">
      <c r="A47" s="8">
        <v>93</v>
      </c>
      <c r="D47" s="6">
        <v>77</v>
      </c>
      <c r="E47" s="8">
        <v>68</v>
      </c>
      <c r="I47" s="8">
        <v>63</v>
      </c>
      <c r="K47" s="8">
        <v>59</v>
      </c>
      <c r="L47" s="8">
        <v>53</v>
      </c>
    </row>
    <row r="48" spans="1:12" x14ac:dyDescent="0.25">
      <c r="A48" s="8">
        <v>93</v>
      </c>
      <c r="D48" s="8">
        <v>77</v>
      </c>
      <c r="E48" s="8">
        <v>67</v>
      </c>
      <c r="I48" s="15">
        <v>59</v>
      </c>
      <c r="K48" s="8">
        <v>57</v>
      </c>
      <c r="L48" s="8">
        <v>48</v>
      </c>
    </row>
    <row r="49" spans="1:12" x14ac:dyDescent="0.25">
      <c r="A49" s="8">
        <v>93</v>
      </c>
      <c r="D49" s="8">
        <v>75</v>
      </c>
      <c r="E49" s="8">
        <v>67</v>
      </c>
      <c r="K49" s="15">
        <v>55</v>
      </c>
      <c r="L49" s="8">
        <v>45</v>
      </c>
    </row>
    <row r="50" spans="1:12" x14ac:dyDescent="0.25">
      <c r="A50" s="8">
        <v>93</v>
      </c>
      <c r="D50" s="8">
        <v>74</v>
      </c>
      <c r="E50" s="8">
        <v>63</v>
      </c>
      <c r="K50" s="15">
        <v>54</v>
      </c>
      <c r="L50" s="8">
        <v>45</v>
      </c>
    </row>
    <row r="51" spans="1:12" x14ac:dyDescent="0.25">
      <c r="A51" s="8">
        <v>93</v>
      </c>
      <c r="D51" s="8">
        <v>72</v>
      </c>
      <c r="E51" s="8">
        <v>63</v>
      </c>
      <c r="L51" s="8">
        <v>44</v>
      </c>
    </row>
    <row r="52" spans="1:12" x14ac:dyDescent="0.25">
      <c r="A52" s="6">
        <v>92</v>
      </c>
      <c r="D52" s="8">
        <v>72</v>
      </c>
      <c r="E52" s="8">
        <v>63</v>
      </c>
      <c r="L52" s="8">
        <v>44</v>
      </c>
    </row>
    <row r="53" spans="1:12" x14ac:dyDescent="0.25">
      <c r="A53" s="6">
        <v>92</v>
      </c>
      <c r="D53" s="8">
        <v>72</v>
      </c>
      <c r="E53" s="8">
        <v>63</v>
      </c>
      <c r="L53" s="8">
        <v>44</v>
      </c>
    </row>
    <row r="54" spans="1:12" x14ac:dyDescent="0.25">
      <c r="A54" s="6">
        <v>92</v>
      </c>
      <c r="D54" s="8">
        <v>72</v>
      </c>
      <c r="E54" s="8">
        <v>62</v>
      </c>
      <c r="L54" s="8">
        <v>44</v>
      </c>
    </row>
    <row r="55" spans="1:12" x14ac:dyDescent="0.25">
      <c r="A55" s="6">
        <v>92</v>
      </c>
      <c r="D55" s="8">
        <v>71</v>
      </c>
      <c r="E55" s="8">
        <v>61</v>
      </c>
      <c r="L55" s="8">
        <v>44</v>
      </c>
    </row>
    <row r="56" spans="1:12" x14ac:dyDescent="0.25">
      <c r="A56" s="8">
        <v>92</v>
      </c>
      <c r="D56" s="8">
        <v>71</v>
      </c>
      <c r="E56" s="8">
        <v>60</v>
      </c>
      <c r="L56" s="20">
        <v>29</v>
      </c>
    </row>
    <row r="57" spans="1:12" x14ac:dyDescent="0.25">
      <c r="A57" s="8">
        <v>92</v>
      </c>
      <c r="D57" s="8">
        <v>71</v>
      </c>
      <c r="E57" s="8">
        <v>60</v>
      </c>
      <c r="L57" s="20">
        <v>28</v>
      </c>
    </row>
    <row r="58" spans="1:12" x14ac:dyDescent="0.25">
      <c r="A58" s="8">
        <v>92</v>
      </c>
      <c r="D58" s="8">
        <v>69</v>
      </c>
      <c r="E58" s="8">
        <v>60</v>
      </c>
      <c r="L58" s="20">
        <v>27</v>
      </c>
    </row>
    <row r="59" spans="1:12" x14ac:dyDescent="0.25">
      <c r="A59" s="8">
        <v>92</v>
      </c>
      <c r="D59" s="15">
        <v>68</v>
      </c>
      <c r="E59" s="8">
        <v>60</v>
      </c>
    </row>
    <row r="60" spans="1:12" x14ac:dyDescent="0.25">
      <c r="A60" s="8">
        <v>92</v>
      </c>
      <c r="D60" s="8">
        <v>67</v>
      </c>
      <c r="E60" s="8">
        <v>59</v>
      </c>
    </row>
    <row r="61" spans="1:12" x14ac:dyDescent="0.25">
      <c r="A61" s="6">
        <v>91</v>
      </c>
      <c r="D61" s="8">
        <v>67</v>
      </c>
      <c r="E61" s="8">
        <v>59</v>
      </c>
    </row>
    <row r="62" spans="1:12" x14ac:dyDescent="0.25">
      <c r="A62" s="8">
        <v>91</v>
      </c>
      <c r="D62" s="8">
        <v>65</v>
      </c>
      <c r="E62" s="8">
        <v>59</v>
      </c>
    </row>
    <row r="63" spans="1:12" x14ac:dyDescent="0.25">
      <c r="A63" s="8">
        <v>91</v>
      </c>
      <c r="D63" s="8">
        <v>64</v>
      </c>
      <c r="E63" s="8">
        <v>58</v>
      </c>
    </row>
    <row r="64" spans="1:12" x14ac:dyDescent="0.25">
      <c r="A64" s="6">
        <v>90</v>
      </c>
      <c r="D64" s="8">
        <v>62</v>
      </c>
      <c r="E64" s="8">
        <v>57</v>
      </c>
    </row>
    <row r="65" spans="1:5" x14ac:dyDescent="0.25">
      <c r="A65" s="6">
        <v>90</v>
      </c>
      <c r="D65" s="15">
        <v>62</v>
      </c>
      <c r="E65" s="15">
        <v>53</v>
      </c>
    </row>
    <row r="66" spans="1:5" x14ac:dyDescent="0.25">
      <c r="A66" s="8">
        <v>90</v>
      </c>
      <c r="D66" s="8">
        <v>60</v>
      </c>
      <c r="E66" s="15">
        <v>52</v>
      </c>
    </row>
    <row r="67" spans="1:5" x14ac:dyDescent="0.25">
      <c r="A67" s="8">
        <v>90</v>
      </c>
      <c r="D67" s="8">
        <v>59</v>
      </c>
      <c r="E67" s="8">
        <v>52</v>
      </c>
    </row>
    <row r="68" spans="1:5" x14ac:dyDescent="0.25">
      <c r="A68" s="8">
        <v>90</v>
      </c>
      <c r="D68" s="8">
        <v>56</v>
      </c>
      <c r="E68" s="8">
        <v>51</v>
      </c>
    </row>
    <row r="69" spans="1:5" x14ac:dyDescent="0.25">
      <c r="A69" s="8">
        <v>90</v>
      </c>
      <c r="D69" s="8">
        <v>55</v>
      </c>
      <c r="E69" s="8">
        <v>51</v>
      </c>
    </row>
    <row r="70" spans="1:5" x14ac:dyDescent="0.25">
      <c r="A70" s="8">
        <v>90</v>
      </c>
    </row>
    <row r="71" spans="1:5" x14ac:dyDescent="0.25">
      <c r="A71" s="8">
        <v>90</v>
      </c>
    </row>
    <row r="72" spans="1:5" x14ac:dyDescent="0.25">
      <c r="A72" s="8">
        <v>90</v>
      </c>
    </row>
    <row r="73" spans="1:5" x14ac:dyDescent="0.25">
      <c r="A73" s="6">
        <v>89</v>
      </c>
    </row>
    <row r="74" spans="1:5" x14ac:dyDescent="0.25">
      <c r="A74" s="6">
        <v>89</v>
      </c>
    </row>
    <row r="75" spans="1:5" x14ac:dyDescent="0.25">
      <c r="A75" s="6">
        <v>89</v>
      </c>
    </row>
    <row r="76" spans="1:5" x14ac:dyDescent="0.25">
      <c r="A76" s="8">
        <v>89</v>
      </c>
    </row>
    <row r="77" spans="1:5" x14ac:dyDescent="0.25">
      <c r="A77" s="8">
        <v>89</v>
      </c>
    </row>
    <row r="78" spans="1:5" x14ac:dyDescent="0.25">
      <c r="A78" s="15">
        <v>89</v>
      </c>
    </row>
    <row r="79" spans="1:5" x14ac:dyDescent="0.25">
      <c r="A79" s="6">
        <v>88</v>
      </c>
    </row>
    <row r="80" spans="1:5" x14ac:dyDescent="0.25">
      <c r="A80" s="8">
        <v>88</v>
      </c>
    </row>
    <row r="81" spans="1:1" x14ac:dyDescent="0.25">
      <c r="A81" s="8">
        <v>88</v>
      </c>
    </row>
    <row r="82" spans="1:1" x14ac:dyDescent="0.25">
      <c r="A82" s="8">
        <v>88</v>
      </c>
    </row>
    <row r="83" spans="1:1" x14ac:dyDescent="0.25">
      <c r="A83" s="8">
        <v>87</v>
      </c>
    </row>
    <row r="84" spans="1:1" x14ac:dyDescent="0.25">
      <c r="A84" s="8">
        <v>87</v>
      </c>
    </row>
    <row r="85" spans="1:1" x14ac:dyDescent="0.25">
      <c r="A85" s="8">
        <v>87</v>
      </c>
    </row>
    <row r="86" spans="1:1" x14ac:dyDescent="0.25">
      <c r="A86" s="8">
        <v>87</v>
      </c>
    </row>
    <row r="87" spans="1:1" x14ac:dyDescent="0.25">
      <c r="A87" s="8">
        <v>87</v>
      </c>
    </row>
    <row r="88" spans="1:1" x14ac:dyDescent="0.25">
      <c r="A88" s="8">
        <v>87</v>
      </c>
    </row>
    <row r="89" spans="1:1" x14ac:dyDescent="0.25">
      <c r="A89" s="8">
        <v>87</v>
      </c>
    </row>
    <row r="90" spans="1:1" x14ac:dyDescent="0.25">
      <c r="A90" s="8">
        <v>87</v>
      </c>
    </row>
    <row r="91" spans="1:1" x14ac:dyDescent="0.25">
      <c r="A91" s="8">
        <v>87</v>
      </c>
    </row>
    <row r="92" spans="1:1" x14ac:dyDescent="0.25">
      <c r="A92" s="15">
        <v>87</v>
      </c>
    </row>
    <row r="93" spans="1:1" x14ac:dyDescent="0.25">
      <c r="A93" s="8">
        <v>86</v>
      </c>
    </row>
    <row r="94" spans="1:1" x14ac:dyDescent="0.25">
      <c r="A94" s="8">
        <v>86</v>
      </c>
    </row>
    <row r="95" spans="1:1" x14ac:dyDescent="0.25">
      <c r="A95" s="8">
        <v>86</v>
      </c>
    </row>
    <row r="96" spans="1:1" x14ac:dyDescent="0.25">
      <c r="A96" s="8">
        <v>86</v>
      </c>
    </row>
    <row r="97" spans="1:1" x14ac:dyDescent="0.25">
      <c r="A97" s="6">
        <v>85</v>
      </c>
    </row>
    <row r="98" spans="1:1" x14ac:dyDescent="0.25">
      <c r="A98" s="8">
        <v>85</v>
      </c>
    </row>
    <row r="99" spans="1:1" x14ac:dyDescent="0.25">
      <c r="A99" s="8">
        <v>85</v>
      </c>
    </row>
    <row r="100" spans="1:1" x14ac:dyDescent="0.25">
      <c r="A100" s="8">
        <v>85</v>
      </c>
    </row>
    <row r="101" spans="1:1" x14ac:dyDescent="0.25">
      <c r="A101" s="8">
        <v>84</v>
      </c>
    </row>
    <row r="102" spans="1:1" x14ac:dyDescent="0.25">
      <c r="A102" s="8">
        <v>84</v>
      </c>
    </row>
    <row r="103" spans="1:1" x14ac:dyDescent="0.25">
      <c r="A103" s="8">
        <v>84</v>
      </c>
    </row>
    <row r="104" spans="1:1" x14ac:dyDescent="0.25">
      <c r="A104" s="6">
        <v>83</v>
      </c>
    </row>
    <row r="105" spans="1:1" x14ac:dyDescent="0.25">
      <c r="A105" s="8">
        <v>83</v>
      </c>
    </row>
    <row r="106" spans="1:1" x14ac:dyDescent="0.25">
      <c r="A106" s="8">
        <v>83</v>
      </c>
    </row>
    <row r="107" spans="1:1" x14ac:dyDescent="0.25">
      <c r="A107" s="8">
        <v>83</v>
      </c>
    </row>
    <row r="108" spans="1:1" x14ac:dyDescent="0.25">
      <c r="A108" s="8">
        <v>83</v>
      </c>
    </row>
    <row r="109" spans="1:1" x14ac:dyDescent="0.25">
      <c r="A109" s="8">
        <v>83</v>
      </c>
    </row>
    <row r="110" spans="1:1" x14ac:dyDescent="0.25">
      <c r="A110" s="8">
        <v>83</v>
      </c>
    </row>
    <row r="111" spans="1:1" x14ac:dyDescent="0.25">
      <c r="A111" s="8">
        <v>83</v>
      </c>
    </row>
    <row r="112" spans="1:1" x14ac:dyDescent="0.25">
      <c r="A112" s="8">
        <v>83</v>
      </c>
    </row>
    <row r="113" spans="1:1" x14ac:dyDescent="0.25">
      <c r="A113" s="8">
        <v>83</v>
      </c>
    </row>
    <row r="114" spans="1:1" x14ac:dyDescent="0.25">
      <c r="A114" s="8">
        <v>83</v>
      </c>
    </row>
    <row r="115" spans="1:1" x14ac:dyDescent="0.25">
      <c r="A115" s="8">
        <v>83</v>
      </c>
    </row>
    <row r="116" spans="1:1" x14ac:dyDescent="0.25">
      <c r="A116" s="8">
        <v>82</v>
      </c>
    </row>
    <row r="117" spans="1:1" x14ac:dyDescent="0.25">
      <c r="A117" s="8">
        <v>82</v>
      </c>
    </row>
    <row r="118" spans="1:1" x14ac:dyDescent="0.25">
      <c r="A118" s="8">
        <v>82</v>
      </c>
    </row>
    <row r="119" spans="1:1" x14ac:dyDescent="0.25">
      <c r="A119" s="8">
        <v>81</v>
      </c>
    </row>
    <row r="120" spans="1:1" x14ac:dyDescent="0.25">
      <c r="A120" s="8">
        <v>81</v>
      </c>
    </row>
    <row r="121" spans="1:1" x14ac:dyDescent="0.25">
      <c r="A121" s="8">
        <v>81</v>
      </c>
    </row>
    <row r="122" spans="1:1" x14ac:dyDescent="0.25">
      <c r="A122" s="8">
        <v>80</v>
      </c>
    </row>
    <row r="123" spans="1:1" x14ac:dyDescent="0.25">
      <c r="A123" s="8">
        <v>80</v>
      </c>
    </row>
    <row r="124" spans="1:1" x14ac:dyDescent="0.25">
      <c r="A124" s="8">
        <v>80</v>
      </c>
    </row>
    <row r="125" spans="1:1" x14ac:dyDescent="0.25">
      <c r="A125" s="8">
        <v>79</v>
      </c>
    </row>
    <row r="126" spans="1:1" x14ac:dyDescent="0.25">
      <c r="A126" s="8">
        <v>78</v>
      </c>
    </row>
    <row r="127" spans="1:1" x14ac:dyDescent="0.25">
      <c r="A127" s="15">
        <v>78</v>
      </c>
    </row>
    <row r="128" spans="1:1" x14ac:dyDescent="0.25">
      <c r="A128" s="8">
        <v>77</v>
      </c>
    </row>
    <row r="129" spans="1:1" x14ac:dyDescent="0.25">
      <c r="A129" s="8">
        <v>76</v>
      </c>
    </row>
    <row r="130" spans="1:1" x14ac:dyDescent="0.25">
      <c r="A130" s="8">
        <v>75</v>
      </c>
    </row>
    <row r="131" spans="1:1" x14ac:dyDescent="0.25">
      <c r="A131" s="8">
        <v>74</v>
      </c>
    </row>
    <row r="132" spans="1:1" x14ac:dyDescent="0.25">
      <c r="A132" s="8">
        <v>73</v>
      </c>
    </row>
    <row r="133" spans="1:1" x14ac:dyDescent="0.25">
      <c r="A133" s="8">
        <v>73</v>
      </c>
    </row>
    <row r="134" spans="1:1" x14ac:dyDescent="0.25">
      <c r="A134" s="8">
        <v>73</v>
      </c>
    </row>
    <row r="135" spans="1:1" x14ac:dyDescent="0.25">
      <c r="A135" s="8">
        <v>73</v>
      </c>
    </row>
    <row r="136" spans="1:1" x14ac:dyDescent="0.25">
      <c r="A136" s="8">
        <v>72</v>
      </c>
    </row>
    <row r="137" spans="1:1" x14ac:dyDescent="0.25">
      <c r="A137" s="8">
        <v>72</v>
      </c>
    </row>
    <row r="138" spans="1:1" x14ac:dyDescent="0.25">
      <c r="A138" s="8">
        <v>72</v>
      </c>
    </row>
    <row r="139" spans="1:1" x14ac:dyDescent="0.25">
      <c r="A139" s="8">
        <v>71</v>
      </c>
    </row>
    <row r="140" spans="1:1" x14ac:dyDescent="0.25">
      <c r="A140" s="8">
        <v>70</v>
      </c>
    </row>
    <row r="141" spans="1:1" x14ac:dyDescent="0.25">
      <c r="A141" s="8">
        <v>70</v>
      </c>
    </row>
    <row r="142" spans="1:1" x14ac:dyDescent="0.25">
      <c r="A142" s="8">
        <v>65</v>
      </c>
    </row>
    <row r="143" spans="1:1" x14ac:dyDescent="0.25">
      <c r="A143" s="8">
        <v>58</v>
      </c>
    </row>
    <row r="144" spans="1:1" x14ac:dyDescent="0.25">
      <c r="A144" s="8">
        <v>57</v>
      </c>
    </row>
    <row r="145" spans="1:1" x14ac:dyDescent="0.25">
      <c r="A145" s="8">
        <v>46</v>
      </c>
    </row>
    <row r="146" spans="1:1" x14ac:dyDescent="0.25">
      <c r="A146" s="20">
        <v>29</v>
      </c>
    </row>
  </sheetData>
  <sortState xmlns:xlrd2="http://schemas.microsoft.com/office/spreadsheetml/2017/richdata2" ref="S2:S146">
    <sortCondition descending="1" ref="S1:S146"/>
  </sortState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0E2F4-F7EC-4698-BB59-FC2F089EBBA4}">
  <dimension ref="A1:Y53"/>
  <sheetViews>
    <sheetView topLeftCell="A16" zoomScale="70" zoomScaleNormal="70" workbookViewId="0">
      <selection activeCell="A13" sqref="A13:XFD13"/>
    </sheetView>
  </sheetViews>
  <sheetFormatPr defaultRowHeight="15" x14ac:dyDescent="0.25"/>
  <cols>
    <col min="1" max="1" width="19.28515625" bestFit="1" customWidth="1"/>
    <col min="2" max="3" width="8.28515625" customWidth="1"/>
    <col min="4" max="4" width="8.28515625" style="5" customWidth="1"/>
    <col min="5" max="6" width="8.28515625" customWidth="1"/>
    <col min="7" max="7" width="8.28515625" style="5" customWidth="1"/>
    <col min="9" max="9" width="13.7109375" customWidth="1"/>
    <col min="10" max="10" width="9.85546875" style="5" customWidth="1"/>
    <col min="11" max="11" width="10.140625" bestFit="1" customWidth="1"/>
    <col min="13" max="13" width="9.140625" style="5"/>
    <col min="16" max="16" width="9.140625" style="5"/>
    <col min="17" max="18" width="8.28515625" customWidth="1"/>
    <col min="19" max="19" width="8.28515625" style="5" customWidth="1"/>
    <col min="21" max="21" width="6.42578125" bestFit="1" customWidth="1"/>
    <col min="22" max="22" width="24.85546875" bestFit="1" customWidth="1"/>
    <col min="23" max="23" width="11.28515625" style="5" bestFit="1" customWidth="1"/>
  </cols>
  <sheetData>
    <row r="1" spans="1:23" ht="23.25" x14ac:dyDescent="0.35">
      <c r="A1" s="95" t="s">
        <v>474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</row>
    <row r="2" spans="1:23" ht="16.5" thickBot="1" x14ac:dyDescent="0.3">
      <c r="A2" s="96" t="s">
        <v>550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</row>
    <row r="3" spans="1:23" ht="16.5" x14ac:dyDescent="0.25">
      <c r="A3" s="97" t="s">
        <v>475</v>
      </c>
      <c r="B3" s="98" t="s">
        <v>476</v>
      </c>
      <c r="C3" s="98"/>
      <c r="D3" s="98"/>
      <c r="E3" s="98" t="s">
        <v>477</v>
      </c>
      <c r="F3" s="98"/>
      <c r="G3" s="98"/>
      <c r="H3" s="98" t="s">
        <v>478</v>
      </c>
      <c r="I3" s="98"/>
      <c r="J3" s="98"/>
      <c r="K3" s="98" t="s">
        <v>479</v>
      </c>
      <c r="L3" s="98"/>
      <c r="M3" s="98"/>
      <c r="N3" s="98" t="s">
        <v>480</v>
      </c>
      <c r="O3" s="98"/>
      <c r="P3" s="98"/>
      <c r="Q3" s="98" t="s">
        <v>481</v>
      </c>
      <c r="R3" s="98"/>
      <c r="S3" s="98"/>
      <c r="T3" s="21"/>
      <c r="U3" s="99" t="s">
        <v>482</v>
      </c>
      <c r="V3" s="100"/>
      <c r="W3" s="101"/>
    </row>
    <row r="4" spans="1:23" ht="15.75" thickBot="1" x14ac:dyDescent="0.3">
      <c r="A4" s="97"/>
      <c r="B4" s="85">
        <v>2021</v>
      </c>
      <c r="C4" s="85">
        <v>2022</v>
      </c>
      <c r="D4" s="85">
        <v>2023</v>
      </c>
      <c r="E4" s="85">
        <v>2021</v>
      </c>
      <c r="F4" s="85">
        <v>2022</v>
      </c>
      <c r="G4" s="85">
        <v>2023</v>
      </c>
      <c r="H4" s="85">
        <v>2021</v>
      </c>
      <c r="I4" s="85">
        <v>2022</v>
      </c>
      <c r="J4" s="85">
        <v>2023</v>
      </c>
      <c r="K4" s="85">
        <v>2021</v>
      </c>
      <c r="L4" s="85">
        <v>2022</v>
      </c>
      <c r="M4" s="85">
        <v>2023</v>
      </c>
      <c r="N4" s="85">
        <v>2021</v>
      </c>
      <c r="O4" s="85">
        <v>2022</v>
      </c>
      <c r="P4" s="85">
        <v>2023</v>
      </c>
      <c r="Q4" s="85">
        <v>2021</v>
      </c>
      <c r="R4" s="85">
        <v>2022</v>
      </c>
      <c r="S4" s="85">
        <v>2023</v>
      </c>
      <c r="T4" s="21"/>
      <c r="U4" s="22" t="s">
        <v>483</v>
      </c>
      <c r="V4" s="23" t="s">
        <v>484</v>
      </c>
      <c r="W4" s="24" t="s">
        <v>485</v>
      </c>
    </row>
    <row r="5" spans="1:23" ht="15.75" x14ac:dyDescent="0.25">
      <c r="A5" s="27" t="s">
        <v>486</v>
      </c>
      <c r="B5" s="88">
        <v>162</v>
      </c>
      <c r="C5" s="88">
        <v>147</v>
      </c>
      <c r="D5" s="88">
        <v>129</v>
      </c>
      <c r="E5" s="88">
        <v>10</v>
      </c>
      <c r="F5" s="88">
        <v>4</v>
      </c>
      <c r="G5" s="88">
        <v>12</v>
      </c>
      <c r="H5" s="88">
        <v>0</v>
      </c>
      <c r="I5" s="88">
        <v>0</v>
      </c>
      <c r="J5" s="88">
        <v>3</v>
      </c>
      <c r="K5" s="88">
        <v>0</v>
      </c>
      <c r="L5" s="88">
        <v>0</v>
      </c>
      <c r="M5" s="88">
        <v>1</v>
      </c>
      <c r="N5" s="89">
        <v>90.59</v>
      </c>
      <c r="O5" s="88">
        <v>88.96</v>
      </c>
      <c r="P5" s="88">
        <v>86.73</v>
      </c>
      <c r="Q5" s="88" t="s">
        <v>306</v>
      </c>
      <c r="R5" s="88" t="s">
        <v>306</v>
      </c>
      <c r="S5" s="88" t="s">
        <v>306</v>
      </c>
      <c r="T5" s="21"/>
      <c r="U5" s="26">
        <v>1</v>
      </c>
      <c r="V5" s="7" t="s">
        <v>402</v>
      </c>
      <c r="W5" s="12">
        <v>98</v>
      </c>
    </row>
    <row r="6" spans="1:23" x14ac:dyDescent="0.25">
      <c r="A6" s="27" t="s">
        <v>487</v>
      </c>
      <c r="B6" s="88">
        <v>40</v>
      </c>
      <c r="C6" s="88">
        <v>44</v>
      </c>
      <c r="D6" s="88">
        <v>39</v>
      </c>
      <c r="E6" s="88">
        <v>12</v>
      </c>
      <c r="F6" s="88">
        <v>10</v>
      </c>
      <c r="G6" s="88">
        <v>7</v>
      </c>
      <c r="H6" s="88">
        <v>1</v>
      </c>
      <c r="I6" s="88">
        <v>0</v>
      </c>
      <c r="J6" s="88">
        <v>1</v>
      </c>
      <c r="K6" s="88">
        <v>0</v>
      </c>
      <c r="L6" s="88">
        <v>0</v>
      </c>
      <c r="M6" s="88">
        <v>0</v>
      </c>
      <c r="N6" s="89">
        <v>83.63</v>
      </c>
      <c r="O6" s="88">
        <v>86.03</v>
      </c>
      <c r="P6" s="88">
        <v>85.68</v>
      </c>
      <c r="Q6" s="88" t="s">
        <v>308</v>
      </c>
      <c r="R6" s="88" t="s">
        <v>306</v>
      </c>
      <c r="S6" s="88" t="s">
        <v>306</v>
      </c>
      <c r="T6" s="21"/>
      <c r="U6" s="28">
        <v>2</v>
      </c>
      <c r="V6" s="7" t="s">
        <v>460</v>
      </c>
      <c r="W6" s="14">
        <v>97.8</v>
      </c>
    </row>
    <row r="7" spans="1:23" x14ac:dyDescent="0.25">
      <c r="A7" s="27" t="s">
        <v>488</v>
      </c>
      <c r="B7" s="88">
        <v>48</v>
      </c>
      <c r="C7" s="88">
        <v>35</v>
      </c>
      <c r="D7" s="88">
        <v>20</v>
      </c>
      <c r="E7" s="88">
        <v>26</v>
      </c>
      <c r="F7" s="88">
        <v>19</v>
      </c>
      <c r="G7" s="88">
        <v>20</v>
      </c>
      <c r="H7" s="88">
        <v>2</v>
      </c>
      <c r="I7" s="88">
        <v>17</v>
      </c>
      <c r="J7" s="88">
        <v>14</v>
      </c>
      <c r="K7" s="88">
        <v>0</v>
      </c>
      <c r="L7" s="88">
        <v>2</v>
      </c>
      <c r="M7" s="88">
        <v>3</v>
      </c>
      <c r="N7" s="89">
        <v>77.489999999999995</v>
      </c>
      <c r="O7" s="88">
        <v>71.34</v>
      </c>
      <c r="P7" s="88">
        <v>67.7</v>
      </c>
      <c r="Q7" s="88" t="s">
        <v>309</v>
      </c>
      <c r="R7" s="88" t="s">
        <v>308</v>
      </c>
      <c r="S7" s="88" t="s">
        <v>308</v>
      </c>
      <c r="T7" s="21"/>
      <c r="U7" s="28">
        <v>3</v>
      </c>
      <c r="V7" s="7" t="s">
        <v>368</v>
      </c>
      <c r="W7" s="14">
        <v>97.4</v>
      </c>
    </row>
    <row r="8" spans="1:23" x14ac:dyDescent="0.25">
      <c r="A8" s="27" t="s">
        <v>489</v>
      </c>
      <c r="B8" s="88">
        <v>25</v>
      </c>
      <c r="C8" s="88">
        <v>10</v>
      </c>
      <c r="D8" s="88">
        <v>20</v>
      </c>
      <c r="E8" s="88">
        <v>6</v>
      </c>
      <c r="F8" s="88">
        <v>2</v>
      </c>
      <c r="G8" s="88">
        <v>1</v>
      </c>
      <c r="H8" s="88">
        <v>1</v>
      </c>
      <c r="I8" s="88">
        <v>0</v>
      </c>
      <c r="J8" s="88">
        <v>0</v>
      </c>
      <c r="K8" s="88">
        <v>0</v>
      </c>
      <c r="L8" s="88">
        <v>0</v>
      </c>
      <c r="M8" s="88">
        <v>0</v>
      </c>
      <c r="N8" s="89">
        <v>86.48</v>
      </c>
      <c r="O8" s="88">
        <v>87.33</v>
      </c>
      <c r="P8" s="88">
        <v>90.1</v>
      </c>
      <c r="Q8" s="88" t="s">
        <v>308</v>
      </c>
      <c r="R8" s="88" t="s">
        <v>308</v>
      </c>
      <c r="S8" s="88" t="s">
        <v>306</v>
      </c>
      <c r="T8" s="21"/>
      <c r="U8" s="28">
        <v>4</v>
      </c>
      <c r="V8" s="7" t="s">
        <v>413</v>
      </c>
      <c r="W8" s="14">
        <v>97.4</v>
      </c>
    </row>
    <row r="9" spans="1:23" x14ac:dyDescent="0.25">
      <c r="A9" s="27" t="s">
        <v>490</v>
      </c>
      <c r="B9" s="88">
        <v>75</v>
      </c>
      <c r="C9" s="88">
        <v>46</v>
      </c>
      <c r="D9" s="88">
        <v>46</v>
      </c>
      <c r="E9" s="88">
        <v>9</v>
      </c>
      <c r="F9" s="88">
        <v>25</v>
      </c>
      <c r="G9" s="88">
        <v>17</v>
      </c>
      <c r="H9" s="88">
        <v>0</v>
      </c>
      <c r="I9" s="88">
        <v>5</v>
      </c>
      <c r="J9" s="88">
        <v>3</v>
      </c>
      <c r="K9" s="88">
        <v>0</v>
      </c>
      <c r="L9" s="88">
        <v>0</v>
      </c>
      <c r="M9" s="88">
        <v>0</v>
      </c>
      <c r="N9" s="89">
        <v>85.61</v>
      </c>
      <c r="O9" s="88">
        <v>77.650000000000006</v>
      </c>
      <c r="P9" s="88">
        <v>81.11</v>
      </c>
      <c r="Q9" s="88" t="s">
        <v>308</v>
      </c>
      <c r="R9" s="88" t="s">
        <v>308</v>
      </c>
      <c r="S9" s="88" t="s">
        <v>306</v>
      </c>
      <c r="T9" s="21"/>
      <c r="U9" s="28">
        <v>5</v>
      </c>
      <c r="V9" s="7" t="s">
        <v>447</v>
      </c>
      <c r="W9" s="14">
        <v>97.4</v>
      </c>
    </row>
    <row r="10" spans="1:23" x14ac:dyDescent="0.25">
      <c r="A10" s="27" t="s">
        <v>491</v>
      </c>
      <c r="B10" s="88">
        <v>79</v>
      </c>
      <c r="C10" s="88">
        <v>52</v>
      </c>
      <c r="D10" s="88">
        <v>36</v>
      </c>
      <c r="E10" s="88">
        <v>5</v>
      </c>
      <c r="F10" s="88">
        <v>17</v>
      </c>
      <c r="G10" s="88">
        <v>20</v>
      </c>
      <c r="H10" s="88">
        <v>0</v>
      </c>
      <c r="I10" s="88">
        <v>7</v>
      </c>
      <c r="J10" s="88">
        <v>10</v>
      </c>
      <c r="K10" s="88">
        <v>0</v>
      </c>
      <c r="L10" s="88">
        <v>0</v>
      </c>
      <c r="M10" s="88">
        <v>0</v>
      </c>
      <c r="N10" s="89">
        <v>85.04</v>
      </c>
      <c r="O10" s="88">
        <v>80.67</v>
      </c>
      <c r="P10" s="88">
        <v>77.040000000000006</v>
      </c>
      <c r="Q10" s="88" t="s">
        <v>308</v>
      </c>
      <c r="R10" s="88" t="s">
        <v>308</v>
      </c>
      <c r="S10" s="88" t="s">
        <v>308</v>
      </c>
      <c r="T10" s="21"/>
      <c r="U10" s="28">
        <v>6</v>
      </c>
      <c r="V10" s="7" t="s">
        <v>419</v>
      </c>
      <c r="W10" s="14">
        <v>97</v>
      </c>
    </row>
    <row r="11" spans="1:23" x14ac:dyDescent="0.25">
      <c r="A11" s="27" t="s">
        <v>492</v>
      </c>
      <c r="B11" s="88">
        <v>17</v>
      </c>
      <c r="C11" s="88">
        <v>24</v>
      </c>
      <c r="D11" s="88">
        <v>25</v>
      </c>
      <c r="E11" s="88">
        <v>6</v>
      </c>
      <c r="F11" s="88">
        <v>2</v>
      </c>
      <c r="G11" s="88">
        <v>2</v>
      </c>
      <c r="H11" s="88">
        <v>0</v>
      </c>
      <c r="I11" s="88">
        <v>3</v>
      </c>
      <c r="J11" s="88">
        <v>0</v>
      </c>
      <c r="K11" s="88">
        <v>0</v>
      </c>
      <c r="L11" s="88">
        <v>0</v>
      </c>
      <c r="M11" s="88">
        <v>0</v>
      </c>
      <c r="N11" s="89">
        <v>76</v>
      </c>
      <c r="O11" s="88">
        <v>81.56</v>
      </c>
      <c r="P11" s="88">
        <v>86.88</v>
      </c>
      <c r="Q11" s="88" t="s">
        <v>313</v>
      </c>
      <c r="R11" s="88" t="s">
        <v>308</v>
      </c>
      <c r="S11" s="88" t="s">
        <v>306</v>
      </c>
      <c r="T11" s="21"/>
      <c r="U11" s="28">
        <v>7</v>
      </c>
      <c r="V11" s="7" t="s">
        <v>455</v>
      </c>
      <c r="W11" s="14">
        <v>96.6</v>
      </c>
    </row>
    <row r="12" spans="1:23" x14ac:dyDescent="0.25">
      <c r="A12" s="27" t="s">
        <v>493</v>
      </c>
      <c r="B12" s="88">
        <v>38</v>
      </c>
      <c r="C12" s="88">
        <v>44</v>
      </c>
      <c r="D12" s="88">
        <v>36</v>
      </c>
      <c r="E12" s="88">
        <v>15</v>
      </c>
      <c r="F12" s="88">
        <v>11</v>
      </c>
      <c r="G12" s="88">
        <v>9</v>
      </c>
      <c r="H12" s="88">
        <v>1</v>
      </c>
      <c r="I12" s="88">
        <v>1</v>
      </c>
      <c r="J12" s="88">
        <v>4</v>
      </c>
      <c r="K12" s="88">
        <v>0</v>
      </c>
      <c r="L12" s="88">
        <v>0</v>
      </c>
      <c r="M12" s="88">
        <v>0</v>
      </c>
      <c r="N12" s="89">
        <v>81.849999999999994</v>
      </c>
      <c r="O12" s="89">
        <v>84.8</v>
      </c>
      <c r="P12" s="88">
        <v>82.18</v>
      </c>
      <c r="Q12" s="88" t="s">
        <v>313</v>
      </c>
      <c r="R12" s="88" t="s">
        <v>309</v>
      </c>
      <c r="S12" s="88" t="s">
        <v>309</v>
      </c>
      <c r="T12" s="21"/>
      <c r="U12" s="28">
        <v>8</v>
      </c>
      <c r="V12" s="7" t="s">
        <v>398</v>
      </c>
      <c r="W12" s="14">
        <v>96.2</v>
      </c>
    </row>
    <row r="13" spans="1:23" x14ac:dyDescent="0.25">
      <c r="A13" s="27" t="s">
        <v>494</v>
      </c>
      <c r="B13" s="88">
        <v>31</v>
      </c>
      <c r="C13" s="88">
        <v>37</v>
      </c>
      <c r="D13" s="88">
        <v>15</v>
      </c>
      <c r="E13" s="88">
        <v>0</v>
      </c>
      <c r="F13" s="88">
        <v>3</v>
      </c>
      <c r="G13" s="88">
        <v>4</v>
      </c>
      <c r="H13" s="88">
        <v>0</v>
      </c>
      <c r="I13" s="88">
        <v>0</v>
      </c>
      <c r="J13" s="88">
        <v>0</v>
      </c>
      <c r="K13" s="88">
        <v>0</v>
      </c>
      <c r="L13" s="88">
        <v>0</v>
      </c>
      <c r="M13" s="88">
        <v>0</v>
      </c>
      <c r="N13" s="89">
        <v>90.29</v>
      </c>
      <c r="O13" s="88">
        <v>88.45</v>
      </c>
      <c r="P13" s="88">
        <v>82.31</v>
      </c>
      <c r="Q13" s="88" t="s">
        <v>308</v>
      </c>
      <c r="R13" s="88" t="s">
        <v>306</v>
      </c>
      <c r="S13" s="88" t="s">
        <v>309</v>
      </c>
      <c r="T13" s="21"/>
      <c r="U13" s="28">
        <v>9</v>
      </c>
      <c r="V13" s="7" t="s">
        <v>438</v>
      </c>
      <c r="W13" s="14">
        <v>96.2</v>
      </c>
    </row>
    <row r="14" spans="1:23" x14ac:dyDescent="0.25">
      <c r="A14" s="27" t="s">
        <v>495</v>
      </c>
      <c r="B14" s="88">
        <v>36</v>
      </c>
      <c r="C14" s="88">
        <v>18</v>
      </c>
      <c r="D14" s="88">
        <v>27</v>
      </c>
      <c r="E14" s="88">
        <v>2</v>
      </c>
      <c r="F14" s="88">
        <v>0</v>
      </c>
      <c r="G14" s="88">
        <v>0</v>
      </c>
      <c r="H14" s="88">
        <v>0</v>
      </c>
      <c r="I14" s="88">
        <v>0</v>
      </c>
      <c r="J14" s="88">
        <v>0</v>
      </c>
      <c r="K14" s="88">
        <v>0</v>
      </c>
      <c r="L14" s="88">
        <v>0</v>
      </c>
      <c r="M14" s="88">
        <v>0</v>
      </c>
      <c r="N14" s="89">
        <v>91.79</v>
      </c>
      <c r="O14" s="88">
        <v>90.88</v>
      </c>
      <c r="P14" s="88">
        <v>91.07</v>
      </c>
      <c r="Q14" s="88" t="s">
        <v>309</v>
      </c>
      <c r="R14" s="88" t="s">
        <v>309</v>
      </c>
      <c r="S14" s="88" t="s">
        <v>308</v>
      </c>
      <c r="T14" s="21"/>
      <c r="U14" s="28">
        <v>10</v>
      </c>
      <c r="V14" s="7" t="s">
        <v>317</v>
      </c>
      <c r="W14" s="14">
        <v>96</v>
      </c>
    </row>
    <row r="15" spans="1:23" x14ac:dyDescent="0.25">
      <c r="A15" s="27" t="s">
        <v>496</v>
      </c>
      <c r="B15" s="88">
        <v>39</v>
      </c>
      <c r="C15" s="88">
        <v>35</v>
      </c>
      <c r="D15" s="88">
        <v>25</v>
      </c>
      <c r="E15" s="88">
        <v>6</v>
      </c>
      <c r="F15" s="88">
        <v>4</v>
      </c>
      <c r="G15" s="88">
        <v>10</v>
      </c>
      <c r="H15" s="88">
        <v>1</v>
      </c>
      <c r="I15" s="88">
        <v>2</v>
      </c>
      <c r="J15" s="88">
        <v>3</v>
      </c>
      <c r="K15" s="88">
        <v>0</v>
      </c>
      <c r="L15" s="88">
        <v>0</v>
      </c>
      <c r="M15" s="88">
        <v>1</v>
      </c>
      <c r="N15" s="89">
        <v>83.37</v>
      </c>
      <c r="O15" s="88">
        <v>86.34</v>
      </c>
      <c r="P15" s="88">
        <v>81.61</v>
      </c>
      <c r="Q15" s="88" t="s">
        <v>309</v>
      </c>
      <c r="R15" s="88" t="s">
        <v>308</v>
      </c>
      <c r="S15" s="88" t="s">
        <v>308</v>
      </c>
      <c r="T15" s="21"/>
      <c r="U15" s="28">
        <v>11</v>
      </c>
      <c r="V15" s="7" t="s">
        <v>412</v>
      </c>
      <c r="W15" s="14">
        <v>95.8</v>
      </c>
    </row>
    <row r="16" spans="1:23" x14ac:dyDescent="0.25">
      <c r="A16" s="27" t="s">
        <v>497</v>
      </c>
      <c r="B16" s="88">
        <v>20</v>
      </c>
      <c r="C16" s="88">
        <v>30</v>
      </c>
      <c r="D16" s="88">
        <v>19</v>
      </c>
      <c r="E16" s="88">
        <v>20</v>
      </c>
      <c r="F16" s="88">
        <v>9</v>
      </c>
      <c r="G16" s="88">
        <v>8</v>
      </c>
      <c r="H16" s="88">
        <v>6</v>
      </c>
      <c r="I16" s="88">
        <v>2</v>
      </c>
      <c r="J16" s="88">
        <v>10</v>
      </c>
      <c r="K16" s="88">
        <v>0</v>
      </c>
      <c r="L16" s="88">
        <v>0</v>
      </c>
      <c r="M16" s="88">
        <v>2</v>
      </c>
      <c r="N16" s="89">
        <v>73.2</v>
      </c>
      <c r="O16" s="89">
        <v>84</v>
      </c>
      <c r="P16" s="88">
        <v>72.02</v>
      </c>
      <c r="Q16" s="88" t="s">
        <v>309</v>
      </c>
      <c r="R16" s="88" t="s">
        <v>308</v>
      </c>
      <c r="S16" s="88" t="s">
        <v>308</v>
      </c>
      <c r="T16" s="21"/>
      <c r="U16" s="28">
        <v>12</v>
      </c>
      <c r="V16" s="7" t="s">
        <v>367</v>
      </c>
      <c r="W16" s="14">
        <v>95.6</v>
      </c>
    </row>
    <row r="17" spans="1:23" x14ac:dyDescent="0.25">
      <c r="A17" s="27" t="s">
        <v>498</v>
      </c>
      <c r="B17" s="88">
        <v>34</v>
      </c>
      <c r="C17" s="88">
        <v>30</v>
      </c>
      <c r="D17" s="88">
        <v>25</v>
      </c>
      <c r="E17" s="88">
        <v>6</v>
      </c>
      <c r="F17" s="88">
        <v>4</v>
      </c>
      <c r="G17" s="88">
        <v>9</v>
      </c>
      <c r="H17" s="88">
        <v>2</v>
      </c>
      <c r="I17" s="88">
        <v>0</v>
      </c>
      <c r="J17" s="88">
        <v>4</v>
      </c>
      <c r="K17" s="88">
        <v>0</v>
      </c>
      <c r="L17" s="88">
        <v>0</v>
      </c>
      <c r="M17" s="88">
        <v>0</v>
      </c>
      <c r="N17" s="89">
        <v>84.67</v>
      </c>
      <c r="O17" s="88">
        <v>87.79</v>
      </c>
      <c r="P17" s="89">
        <v>81.5</v>
      </c>
      <c r="Q17" s="88" t="s">
        <v>306</v>
      </c>
      <c r="R17" s="88" t="s">
        <v>305</v>
      </c>
      <c r="S17" s="88" t="s">
        <v>306</v>
      </c>
      <c r="T17" s="21"/>
      <c r="U17" s="28">
        <v>13</v>
      </c>
      <c r="V17" s="7" t="s">
        <v>408</v>
      </c>
      <c r="W17" s="14">
        <v>95.2</v>
      </c>
    </row>
    <row r="18" spans="1:23" x14ac:dyDescent="0.25">
      <c r="A18" s="27" t="s">
        <v>499</v>
      </c>
      <c r="B18" s="88">
        <v>38</v>
      </c>
      <c r="C18" s="88">
        <v>32</v>
      </c>
      <c r="D18" s="88">
        <v>26</v>
      </c>
      <c r="E18" s="88">
        <v>4</v>
      </c>
      <c r="F18" s="88">
        <v>2</v>
      </c>
      <c r="G18" s="88">
        <v>9</v>
      </c>
      <c r="H18" s="88">
        <v>0</v>
      </c>
      <c r="I18" s="88">
        <v>0</v>
      </c>
      <c r="J18" s="88">
        <v>3</v>
      </c>
      <c r="K18" s="88">
        <v>0</v>
      </c>
      <c r="L18" s="88">
        <v>0</v>
      </c>
      <c r="M18" s="88">
        <v>0</v>
      </c>
      <c r="N18" s="89">
        <v>89.07</v>
      </c>
      <c r="O18" s="88">
        <v>92.32</v>
      </c>
      <c r="P18" s="88">
        <v>82.23</v>
      </c>
      <c r="Q18" s="88" t="s">
        <v>306</v>
      </c>
      <c r="R18" s="88" t="s">
        <v>305</v>
      </c>
      <c r="S18" s="88" t="s">
        <v>306</v>
      </c>
      <c r="T18" s="21"/>
      <c r="U18" s="28">
        <v>14</v>
      </c>
      <c r="V18" s="7" t="s">
        <v>442</v>
      </c>
      <c r="W18" s="14">
        <v>95</v>
      </c>
    </row>
    <row r="19" spans="1:23" ht="18" x14ac:dyDescent="0.3">
      <c r="A19" s="27" t="s">
        <v>500</v>
      </c>
      <c r="B19" s="88">
        <v>4</v>
      </c>
      <c r="C19" s="88">
        <v>4</v>
      </c>
      <c r="D19" s="88">
        <v>11</v>
      </c>
      <c r="E19" s="88">
        <v>0</v>
      </c>
      <c r="F19" s="88">
        <v>0</v>
      </c>
      <c r="G19" s="88">
        <v>1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9">
        <v>90</v>
      </c>
      <c r="O19" s="89">
        <v>90.5</v>
      </c>
      <c r="P19" s="89">
        <v>84</v>
      </c>
      <c r="Q19" s="88" t="s">
        <v>306</v>
      </c>
      <c r="R19" s="88" t="s">
        <v>305</v>
      </c>
      <c r="S19" s="88" t="s">
        <v>306</v>
      </c>
      <c r="T19" s="21"/>
      <c r="U19" s="29"/>
      <c r="V19" s="112"/>
      <c r="W19" s="112"/>
    </row>
    <row r="20" spans="1:23" ht="18" x14ac:dyDescent="0.3">
      <c r="A20" s="27" t="s">
        <v>501</v>
      </c>
      <c r="B20" s="90">
        <v>13</v>
      </c>
      <c r="C20" s="88">
        <v>13</v>
      </c>
      <c r="D20" s="88">
        <v>12</v>
      </c>
      <c r="E20" s="90">
        <v>4</v>
      </c>
      <c r="F20" s="88">
        <v>2</v>
      </c>
      <c r="G20" s="88">
        <v>0</v>
      </c>
      <c r="H20" s="90">
        <v>0</v>
      </c>
      <c r="I20" s="88">
        <v>0</v>
      </c>
      <c r="J20" s="88">
        <v>2</v>
      </c>
      <c r="K20" s="90">
        <v>0</v>
      </c>
      <c r="L20" s="88">
        <v>0</v>
      </c>
      <c r="M20" s="88">
        <v>0</v>
      </c>
      <c r="N20" s="91">
        <v>83.29</v>
      </c>
      <c r="O20" s="89">
        <v>84.8</v>
      </c>
      <c r="P20" s="89">
        <v>86.5</v>
      </c>
      <c r="Q20" s="90" t="s">
        <v>308</v>
      </c>
      <c r="R20" s="88" t="s">
        <v>306</v>
      </c>
      <c r="S20" s="88" t="s">
        <v>305</v>
      </c>
      <c r="T20" s="21"/>
      <c r="U20" s="29"/>
      <c r="V20" s="112"/>
      <c r="W20" s="112"/>
    </row>
    <row r="21" spans="1:23" x14ac:dyDescent="0.25">
      <c r="A21" s="30" t="s">
        <v>503</v>
      </c>
      <c r="B21" s="90">
        <v>15</v>
      </c>
      <c r="C21" s="92" t="s">
        <v>502</v>
      </c>
      <c r="D21" s="88">
        <v>12</v>
      </c>
      <c r="E21" s="90">
        <v>0</v>
      </c>
      <c r="F21" s="92" t="s">
        <v>502</v>
      </c>
      <c r="G21" s="88">
        <v>1</v>
      </c>
      <c r="H21" s="90">
        <v>0</v>
      </c>
      <c r="I21" s="92" t="s">
        <v>502</v>
      </c>
      <c r="J21" s="88">
        <v>0</v>
      </c>
      <c r="K21" s="90">
        <v>0</v>
      </c>
      <c r="L21" s="92" t="s">
        <v>502</v>
      </c>
      <c r="M21" s="88">
        <v>0</v>
      </c>
      <c r="N21" s="91">
        <v>91.67</v>
      </c>
      <c r="O21" s="92" t="s">
        <v>502</v>
      </c>
      <c r="P21" s="88">
        <v>89.76</v>
      </c>
      <c r="Q21" s="90" t="s">
        <v>312</v>
      </c>
      <c r="R21" s="92" t="s">
        <v>502</v>
      </c>
      <c r="S21" s="88" t="s">
        <v>313</v>
      </c>
      <c r="T21" s="21"/>
    </row>
    <row r="22" spans="1:23" ht="15.75" thickBot="1" x14ac:dyDescent="0.3">
      <c r="A22" s="30" t="s">
        <v>504</v>
      </c>
      <c r="B22" s="90">
        <v>2</v>
      </c>
      <c r="C22" s="88">
        <v>1</v>
      </c>
      <c r="D22" s="88">
        <v>4</v>
      </c>
      <c r="E22" s="90">
        <v>0</v>
      </c>
      <c r="F22" s="88">
        <v>0</v>
      </c>
      <c r="G22" s="88">
        <v>0</v>
      </c>
      <c r="H22" s="90">
        <v>0</v>
      </c>
      <c r="I22" s="88">
        <v>0</v>
      </c>
      <c r="J22" s="88">
        <v>0</v>
      </c>
      <c r="K22" s="90">
        <v>0</v>
      </c>
      <c r="L22" s="88">
        <v>0</v>
      </c>
      <c r="M22" s="88">
        <v>0</v>
      </c>
      <c r="N22" s="91">
        <v>93.5</v>
      </c>
      <c r="O22" s="89">
        <v>90</v>
      </c>
      <c r="P22" s="88">
        <v>93.5</v>
      </c>
      <c r="Q22" s="90" t="s">
        <v>309</v>
      </c>
      <c r="R22" s="88" t="s">
        <v>313</v>
      </c>
      <c r="S22" s="88" t="s">
        <v>308</v>
      </c>
      <c r="T22" s="21"/>
    </row>
    <row r="23" spans="1:23" ht="18.75" thickBot="1" x14ac:dyDescent="0.3">
      <c r="A23" s="31"/>
      <c r="B23" s="32"/>
      <c r="C23" s="32"/>
      <c r="D23" s="32"/>
      <c r="E23" s="33"/>
      <c r="F23" s="33"/>
      <c r="G23" s="32"/>
      <c r="H23" s="34"/>
      <c r="I23" s="34"/>
      <c r="J23" s="32"/>
      <c r="K23" s="34"/>
      <c r="L23" s="34"/>
      <c r="M23" s="32"/>
      <c r="N23" s="35"/>
      <c r="O23" s="35"/>
      <c r="P23" s="32"/>
      <c r="Q23" s="32"/>
      <c r="R23" s="32"/>
      <c r="S23" s="32"/>
      <c r="T23" s="21"/>
      <c r="U23" s="113" t="s">
        <v>473</v>
      </c>
      <c r="V23" s="114"/>
      <c r="W23" s="115"/>
    </row>
    <row r="24" spans="1:23" ht="17.25" thickBot="1" x14ac:dyDescent="0.3">
      <c r="G24" s="36"/>
      <c r="H24" s="116" t="s">
        <v>505</v>
      </c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21"/>
      <c r="U24" s="117" t="s">
        <v>506</v>
      </c>
      <c r="V24" s="118"/>
      <c r="W24" s="37">
        <v>0.73399999999999999</v>
      </c>
    </row>
    <row r="25" spans="1:23" ht="17.25" thickBot="1" x14ac:dyDescent="0.3">
      <c r="A25" s="102" t="s">
        <v>507</v>
      </c>
      <c r="B25" s="103"/>
      <c r="C25" s="103"/>
      <c r="D25" s="103"/>
      <c r="E25" s="103"/>
      <c r="F25" s="104"/>
      <c r="G25" s="38"/>
      <c r="H25" s="105" t="s">
        <v>508</v>
      </c>
      <c r="I25" s="105"/>
      <c r="J25" s="105"/>
      <c r="K25" s="105" t="s">
        <v>509</v>
      </c>
      <c r="L25" s="105"/>
      <c r="M25" s="105"/>
      <c r="N25" s="105" t="s">
        <v>510</v>
      </c>
      <c r="O25" s="105"/>
      <c r="P25" s="105"/>
      <c r="Q25" s="105" t="s">
        <v>511</v>
      </c>
      <c r="R25" s="105"/>
      <c r="S25" s="105"/>
      <c r="T25" s="21"/>
      <c r="U25" s="110" t="s">
        <v>512</v>
      </c>
      <c r="V25" s="119"/>
      <c r="W25" s="39">
        <v>0.73299999999999998</v>
      </c>
    </row>
    <row r="26" spans="1:23" ht="16.5" x14ac:dyDescent="0.25">
      <c r="A26" s="40" t="s">
        <v>513</v>
      </c>
      <c r="B26" s="41" t="s">
        <v>514</v>
      </c>
      <c r="C26" s="41" t="s">
        <v>515</v>
      </c>
      <c r="D26" s="41" t="s">
        <v>516</v>
      </c>
      <c r="E26" s="41" t="s">
        <v>517</v>
      </c>
      <c r="F26" s="41" t="s">
        <v>518</v>
      </c>
      <c r="G26" s="38"/>
      <c r="H26" s="86">
        <v>2021</v>
      </c>
      <c r="I26" s="86">
        <v>2022</v>
      </c>
      <c r="J26" s="86">
        <v>2023</v>
      </c>
      <c r="K26" s="86">
        <v>2021</v>
      </c>
      <c r="L26" s="86">
        <v>2022</v>
      </c>
      <c r="M26" s="86">
        <v>2023</v>
      </c>
      <c r="N26" s="86">
        <v>2021</v>
      </c>
      <c r="O26" s="86">
        <v>2022</v>
      </c>
      <c r="P26" s="86">
        <v>2023</v>
      </c>
      <c r="Q26" s="86">
        <v>2021</v>
      </c>
      <c r="R26" s="86">
        <v>2022</v>
      </c>
      <c r="S26" s="86">
        <v>2023</v>
      </c>
      <c r="T26" s="21"/>
      <c r="U26" s="110" t="s">
        <v>519</v>
      </c>
      <c r="V26" s="119"/>
      <c r="W26" s="39">
        <v>0.74299999999999999</v>
      </c>
    </row>
    <row r="27" spans="1:23" ht="16.5" x14ac:dyDescent="0.25">
      <c r="A27" s="27" t="s">
        <v>520</v>
      </c>
      <c r="B27" s="42">
        <v>145</v>
      </c>
      <c r="C27" s="42">
        <v>144</v>
      </c>
      <c r="D27" s="42">
        <v>0</v>
      </c>
      <c r="E27" s="42">
        <v>1</v>
      </c>
      <c r="F27" s="43">
        <f>C27/B27</f>
        <v>0.99310344827586206</v>
      </c>
      <c r="G27" s="38"/>
      <c r="H27" s="93">
        <v>173</v>
      </c>
      <c r="I27" s="93">
        <v>151</v>
      </c>
      <c r="J27" s="88">
        <v>145</v>
      </c>
      <c r="K27" s="93">
        <v>173</v>
      </c>
      <c r="L27" s="93">
        <v>151</v>
      </c>
      <c r="M27" s="88">
        <v>140</v>
      </c>
      <c r="N27" s="93">
        <v>0</v>
      </c>
      <c r="O27" s="93">
        <v>2</v>
      </c>
      <c r="P27" s="88">
        <v>4</v>
      </c>
      <c r="Q27" s="93">
        <v>0</v>
      </c>
      <c r="R27" s="93">
        <v>0</v>
      </c>
      <c r="S27" s="88">
        <v>1</v>
      </c>
      <c r="T27" s="21"/>
      <c r="U27" s="110" t="s">
        <v>521</v>
      </c>
      <c r="V27" s="119"/>
      <c r="W27" s="39">
        <v>0.74299999999999999</v>
      </c>
    </row>
    <row r="28" spans="1:23" ht="17.25" thickBot="1" x14ac:dyDescent="0.3">
      <c r="A28" s="27" t="s">
        <v>487</v>
      </c>
      <c r="B28" s="42">
        <v>47</v>
      </c>
      <c r="C28" s="42">
        <v>0</v>
      </c>
      <c r="D28" s="42">
        <v>0</v>
      </c>
      <c r="E28" s="42">
        <v>0</v>
      </c>
      <c r="F28" s="43">
        <v>1</v>
      </c>
      <c r="G28" s="38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21"/>
      <c r="U28" s="110" t="s">
        <v>522</v>
      </c>
      <c r="V28" s="119"/>
      <c r="W28" s="39">
        <v>0.77700000000000002</v>
      </c>
    </row>
    <row r="29" spans="1:23" ht="16.5" x14ac:dyDescent="0.25">
      <c r="A29" s="27" t="s">
        <v>488</v>
      </c>
      <c r="B29" s="42">
        <v>57</v>
      </c>
      <c r="C29" s="42">
        <v>54</v>
      </c>
      <c r="D29" s="42">
        <v>3</v>
      </c>
      <c r="E29" s="42">
        <v>0</v>
      </c>
      <c r="F29" s="43">
        <f>C29/B29</f>
        <v>0.94736842105263153</v>
      </c>
      <c r="G29" s="38"/>
      <c r="H29" s="120" t="s">
        <v>523</v>
      </c>
      <c r="I29" s="121"/>
      <c r="J29" s="121"/>
      <c r="K29" s="121"/>
      <c r="L29" s="121"/>
      <c r="M29" s="121"/>
      <c r="N29" s="121"/>
      <c r="O29" s="121"/>
      <c r="P29" s="122"/>
      <c r="Q29" s="45"/>
      <c r="R29" s="46"/>
      <c r="S29" s="45"/>
      <c r="T29" s="21"/>
      <c r="U29" s="123" t="s">
        <v>524</v>
      </c>
      <c r="V29" s="124"/>
      <c r="W29" s="39">
        <v>0.80200000000000005</v>
      </c>
    </row>
    <row r="30" spans="1:23" ht="17.25" thickBot="1" x14ac:dyDescent="0.3">
      <c r="A30" s="27" t="s">
        <v>489</v>
      </c>
      <c r="B30" s="42">
        <v>21</v>
      </c>
      <c r="C30" s="42">
        <v>0</v>
      </c>
      <c r="D30" s="42">
        <v>0</v>
      </c>
      <c r="E30" s="42">
        <v>0</v>
      </c>
      <c r="F30" s="43">
        <v>1</v>
      </c>
      <c r="G30" s="38"/>
      <c r="H30" s="106" t="s">
        <v>513</v>
      </c>
      <c r="I30" s="107"/>
      <c r="J30" s="108" t="s">
        <v>525</v>
      </c>
      <c r="K30" s="109"/>
      <c r="L30" s="109"/>
      <c r="M30" s="109"/>
      <c r="N30" s="109"/>
      <c r="O30" s="107"/>
      <c r="P30" s="47" t="s">
        <v>485</v>
      </c>
      <c r="Q30" s="48"/>
      <c r="U30" s="110" t="s">
        <v>526</v>
      </c>
      <c r="V30" s="111"/>
      <c r="W30" s="39">
        <v>0.79420000000000002</v>
      </c>
    </row>
    <row r="31" spans="1:23" ht="16.5" x14ac:dyDescent="0.25">
      <c r="A31" s="27" t="s">
        <v>490</v>
      </c>
      <c r="B31" s="42">
        <v>27</v>
      </c>
      <c r="C31" s="42">
        <v>27</v>
      </c>
      <c r="D31" s="42">
        <v>0</v>
      </c>
      <c r="E31" s="42">
        <v>0</v>
      </c>
      <c r="F31" s="43">
        <v>1</v>
      </c>
      <c r="G31" s="38"/>
      <c r="H31" s="125" t="s">
        <v>520</v>
      </c>
      <c r="I31" s="126"/>
      <c r="J31" s="127" t="s">
        <v>553</v>
      </c>
      <c r="K31" s="128"/>
      <c r="L31" s="128"/>
      <c r="M31" s="128"/>
      <c r="N31" s="128"/>
      <c r="O31" s="129"/>
      <c r="P31" s="49">
        <v>0.98</v>
      </c>
      <c r="Q31" s="38"/>
      <c r="U31" s="123" t="s">
        <v>527</v>
      </c>
      <c r="V31" s="124"/>
      <c r="W31" s="39">
        <v>0.81910000000000005</v>
      </c>
    </row>
    <row r="32" spans="1:23" ht="16.5" x14ac:dyDescent="0.25">
      <c r="A32" s="27" t="s">
        <v>491</v>
      </c>
      <c r="B32" s="42">
        <v>68</v>
      </c>
      <c r="C32" s="42">
        <v>68</v>
      </c>
      <c r="D32" s="42">
        <v>0</v>
      </c>
      <c r="E32" s="42">
        <v>0</v>
      </c>
      <c r="F32" s="43">
        <v>1</v>
      </c>
      <c r="G32" s="38"/>
      <c r="H32" s="130" t="s">
        <v>487</v>
      </c>
      <c r="I32" s="131"/>
      <c r="J32" s="132" t="s">
        <v>559</v>
      </c>
      <c r="K32" s="133"/>
      <c r="L32" s="133"/>
      <c r="M32" s="133"/>
      <c r="N32" s="133"/>
      <c r="O32" s="134"/>
      <c r="P32" s="50">
        <v>1</v>
      </c>
      <c r="Q32" s="51"/>
      <c r="U32" s="110" t="s">
        <v>528</v>
      </c>
      <c r="V32" s="111"/>
      <c r="W32" s="39">
        <v>0.79400000000000004</v>
      </c>
    </row>
    <row r="33" spans="1:25" ht="16.5" x14ac:dyDescent="0.25">
      <c r="A33" s="27" t="s">
        <v>492</v>
      </c>
      <c r="B33" s="42">
        <v>27</v>
      </c>
      <c r="C33" s="42">
        <v>27</v>
      </c>
      <c r="D33" s="42">
        <v>0</v>
      </c>
      <c r="E33" s="42">
        <v>0</v>
      </c>
      <c r="F33" s="43">
        <v>1</v>
      </c>
      <c r="G33" s="38"/>
      <c r="H33" s="130" t="s">
        <v>488</v>
      </c>
      <c r="I33" s="131"/>
      <c r="J33" s="132" t="s">
        <v>562</v>
      </c>
      <c r="K33" s="133"/>
      <c r="L33" s="133"/>
      <c r="M33" s="133"/>
      <c r="N33" s="133"/>
      <c r="O33" s="134"/>
      <c r="P33" s="50">
        <v>0.98</v>
      </c>
      <c r="Q33" s="38"/>
      <c r="U33" s="110" t="s">
        <v>529</v>
      </c>
      <c r="V33" s="111"/>
      <c r="W33" s="39">
        <v>0.79900000000000004</v>
      </c>
    </row>
    <row r="34" spans="1:25" ht="16.5" x14ac:dyDescent="0.25">
      <c r="A34" s="52" t="s">
        <v>493</v>
      </c>
      <c r="B34" s="53">
        <v>49</v>
      </c>
      <c r="C34" s="53">
        <v>49</v>
      </c>
      <c r="D34" s="53">
        <v>0</v>
      </c>
      <c r="E34" s="53">
        <v>0</v>
      </c>
      <c r="F34" s="43">
        <v>1</v>
      </c>
      <c r="G34" s="38"/>
      <c r="H34" s="130" t="s">
        <v>489</v>
      </c>
      <c r="I34" s="131"/>
      <c r="J34" s="135" t="s">
        <v>566</v>
      </c>
      <c r="K34" s="136"/>
      <c r="L34" s="136"/>
      <c r="M34" s="136"/>
      <c r="N34" s="136"/>
      <c r="O34" s="137"/>
      <c r="P34" s="50">
        <v>0.99</v>
      </c>
      <c r="Q34" s="38"/>
      <c r="U34" s="110" t="s">
        <v>530</v>
      </c>
      <c r="V34" s="111"/>
      <c r="W34" s="39">
        <v>0.8397</v>
      </c>
    </row>
    <row r="35" spans="1:25" ht="28.5" customHeight="1" x14ac:dyDescent="0.25">
      <c r="A35" s="52" t="s">
        <v>494</v>
      </c>
      <c r="B35" s="53">
        <v>19</v>
      </c>
      <c r="C35" s="53">
        <v>19</v>
      </c>
      <c r="D35" s="53">
        <v>0</v>
      </c>
      <c r="E35" s="53">
        <v>0</v>
      </c>
      <c r="F35" s="54">
        <v>1</v>
      </c>
      <c r="G35" s="38"/>
      <c r="H35" s="138" t="s">
        <v>490</v>
      </c>
      <c r="I35" s="139"/>
      <c r="J35" s="132" t="s">
        <v>563</v>
      </c>
      <c r="K35" s="133"/>
      <c r="L35" s="133"/>
      <c r="M35" s="133"/>
      <c r="N35" s="133"/>
      <c r="O35" s="134"/>
      <c r="P35" s="50">
        <v>0.98</v>
      </c>
      <c r="Q35" s="38"/>
      <c r="U35" s="110" t="s">
        <v>531</v>
      </c>
      <c r="V35" s="111"/>
      <c r="W35" s="39">
        <v>0.85199999999999998</v>
      </c>
    </row>
    <row r="36" spans="1:25" ht="18" customHeight="1" x14ac:dyDescent="0.25">
      <c r="A36" s="27" t="s">
        <v>496</v>
      </c>
      <c r="B36" s="42">
        <v>39</v>
      </c>
      <c r="C36" s="42">
        <v>38</v>
      </c>
      <c r="D36" s="42">
        <v>0</v>
      </c>
      <c r="E36" s="42">
        <v>1</v>
      </c>
      <c r="F36" s="54">
        <v>1</v>
      </c>
      <c r="G36" s="38"/>
      <c r="H36" s="130" t="s">
        <v>491</v>
      </c>
      <c r="I36" s="131"/>
      <c r="J36" s="132" t="s">
        <v>564</v>
      </c>
      <c r="K36" s="133"/>
      <c r="L36" s="133"/>
      <c r="M36" s="133"/>
      <c r="N36" s="133"/>
      <c r="O36" s="134"/>
      <c r="P36" s="50">
        <v>0.98</v>
      </c>
      <c r="Q36" s="51"/>
      <c r="U36" s="110" t="s">
        <v>532</v>
      </c>
      <c r="V36" s="111"/>
      <c r="W36" s="39">
        <v>0.84089999999999998</v>
      </c>
    </row>
    <row r="37" spans="1:25" ht="18" customHeight="1" x14ac:dyDescent="0.25">
      <c r="A37" s="52" t="s">
        <v>497</v>
      </c>
      <c r="B37" s="42">
        <v>39</v>
      </c>
      <c r="C37" s="42">
        <v>38</v>
      </c>
      <c r="D37" s="42">
        <v>0</v>
      </c>
      <c r="E37" s="42">
        <v>1</v>
      </c>
      <c r="F37" s="54">
        <v>0.99</v>
      </c>
      <c r="G37" s="38"/>
      <c r="H37" s="130" t="s">
        <v>492</v>
      </c>
      <c r="I37" s="131"/>
      <c r="J37" s="132" t="s">
        <v>565</v>
      </c>
      <c r="K37" s="133"/>
      <c r="L37" s="133"/>
      <c r="M37" s="133"/>
      <c r="N37" s="133"/>
      <c r="O37" s="134"/>
      <c r="P37" s="50">
        <v>0.96</v>
      </c>
      <c r="Q37" s="38"/>
      <c r="U37" s="110" t="s">
        <v>551</v>
      </c>
      <c r="V37" s="111"/>
      <c r="W37" s="39">
        <v>0.82040000000000002</v>
      </c>
    </row>
    <row r="38" spans="1:25" x14ac:dyDescent="0.25">
      <c r="A38" s="52" t="s">
        <v>495</v>
      </c>
      <c r="B38" s="53">
        <v>27</v>
      </c>
      <c r="C38" s="53">
        <v>27</v>
      </c>
      <c r="D38" s="42">
        <v>0</v>
      </c>
      <c r="E38" s="42">
        <v>0</v>
      </c>
      <c r="F38" s="43">
        <v>1</v>
      </c>
      <c r="G38" s="38"/>
      <c r="H38" s="138" t="s">
        <v>493</v>
      </c>
      <c r="I38" s="139"/>
      <c r="J38" s="132" t="s">
        <v>557</v>
      </c>
      <c r="K38" s="133"/>
      <c r="L38" s="133"/>
      <c r="M38" s="133"/>
      <c r="N38" s="133"/>
      <c r="O38" s="134"/>
      <c r="P38" s="50">
        <v>0.99</v>
      </c>
      <c r="Q38" s="38"/>
    </row>
    <row r="39" spans="1:25" ht="18.75" customHeight="1" x14ac:dyDescent="0.25">
      <c r="A39" s="55" t="s">
        <v>498</v>
      </c>
      <c r="B39" s="42">
        <v>38</v>
      </c>
      <c r="C39" s="42">
        <v>38</v>
      </c>
      <c r="D39" s="42">
        <v>0</v>
      </c>
      <c r="E39" s="42">
        <v>0</v>
      </c>
      <c r="F39" s="43">
        <v>1</v>
      </c>
      <c r="G39" s="56"/>
      <c r="H39" s="130" t="s">
        <v>494</v>
      </c>
      <c r="I39" s="131"/>
      <c r="J39" s="132" t="s">
        <v>558</v>
      </c>
      <c r="K39" s="133"/>
      <c r="L39" s="133"/>
      <c r="M39" s="133"/>
      <c r="N39" s="133"/>
      <c r="O39" s="134"/>
      <c r="P39" s="50">
        <v>0.98</v>
      </c>
      <c r="Q39" s="38"/>
    </row>
    <row r="40" spans="1:25" ht="18" customHeight="1" x14ac:dyDescent="0.25">
      <c r="A40" s="55" t="s">
        <v>499</v>
      </c>
      <c r="B40" s="42">
        <v>38</v>
      </c>
      <c r="C40" s="42">
        <v>38</v>
      </c>
      <c r="D40" s="42">
        <v>0</v>
      </c>
      <c r="E40" s="42">
        <v>0</v>
      </c>
      <c r="F40" s="43">
        <v>1</v>
      </c>
      <c r="G40" s="57"/>
      <c r="H40" s="130" t="s">
        <v>496</v>
      </c>
      <c r="I40" s="131"/>
      <c r="J40" s="132" t="s">
        <v>568</v>
      </c>
      <c r="K40" s="133"/>
      <c r="L40" s="133"/>
      <c r="M40" s="133"/>
      <c r="N40" s="133"/>
      <c r="O40" s="134"/>
      <c r="P40" s="50">
        <v>1</v>
      </c>
      <c r="Q40" s="58"/>
      <c r="R40" s="21"/>
      <c r="S40" s="59"/>
      <c r="T40" s="21"/>
    </row>
    <row r="41" spans="1:25" ht="18" customHeight="1" x14ac:dyDescent="0.25">
      <c r="A41" s="30" t="s">
        <v>533</v>
      </c>
      <c r="B41" s="53">
        <v>12</v>
      </c>
      <c r="C41" s="53">
        <v>12</v>
      </c>
      <c r="D41" s="53">
        <v>0</v>
      </c>
      <c r="E41" s="53">
        <v>0</v>
      </c>
      <c r="F41" s="54">
        <v>1</v>
      </c>
      <c r="G41" s="60"/>
      <c r="H41" s="130" t="s">
        <v>497</v>
      </c>
      <c r="I41" s="131"/>
      <c r="J41" s="132" t="s">
        <v>569</v>
      </c>
      <c r="K41" s="133"/>
      <c r="L41" s="133"/>
      <c r="M41" s="133"/>
      <c r="N41" s="133"/>
      <c r="O41" s="134"/>
      <c r="P41" s="50">
        <v>1</v>
      </c>
      <c r="Q41" s="51"/>
      <c r="R41" s="21"/>
      <c r="S41" s="59"/>
      <c r="T41" s="21"/>
      <c r="Y41" s="61"/>
    </row>
    <row r="42" spans="1:25" s="61" customFormat="1" x14ac:dyDescent="0.25">
      <c r="A42" s="30" t="s">
        <v>501</v>
      </c>
      <c r="B42" s="53">
        <v>14</v>
      </c>
      <c r="C42" s="53">
        <v>14</v>
      </c>
      <c r="D42" s="53">
        <v>0</v>
      </c>
      <c r="E42" s="53">
        <v>0</v>
      </c>
      <c r="F42" s="54">
        <v>1</v>
      </c>
      <c r="G42" s="62"/>
      <c r="H42" s="138" t="s">
        <v>495</v>
      </c>
      <c r="I42" s="139"/>
      <c r="J42" s="132" t="s">
        <v>567</v>
      </c>
      <c r="K42" s="133"/>
      <c r="L42" s="133"/>
      <c r="M42" s="133"/>
      <c r="N42" s="133"/>
      <c r="O42" s="134"/>
      <c r="P42" s="50">
        <v>0.98</v>
      </c>
      <c r="Q42" s="51"/>
      <c r="R42" s="63"/>
      <c r="S42" s="64"/>
      <c r="T42" s="63"/>
      <c r="U42"/>
      <c r="V42"/>
      <c r="W42" s="5"/>
    </row>
    <row r="43" spans="1:25" ht="18" customHeight="1" x14ac:dyDescent="0.25">
      <c r="A43" s="30" t="s">
        <v>503</v>
      </c>
      <c r="B43" s="53">
        <v>13</v>
      </c>
      <c r="C43" s="65">
        <v>13</v>
      </c>
      <c r="D43" s="65">
        <v>0</v>
      </c>
      <c r="E43" s="65">
        <v>0</v>
      </c>
      <c r="F43" s="54">
        <v>1</v>
      </c>
      <c r="G43" s="60"/>
      <c r="H43" s="140" t="s">
        <v>498</v>
      </c>
      <c r="I43" s="141"/>
      <c r="J43" s="132" t="s">
        <v>555</v>
      </c>
      <c r="K43" s="133"/>
      <c r="L43" s="133"/>
      <c r="M43" s="133"/>
      <c r="N43" s="133"/>
      <c r="O43" s="134"/>
      <c r="P43" s="50">
        <v>1</v>
      </c>
      <c r="Q43" s="59"/>
      <c r="R43" s="66"/>
      <c r="S43" s="38"/>
      <c r="T43" s="21"/>
    </row>
    <row r="44" spans="1:25" ht="18" customHeight="1" x14ac:dyDescent="0.25">
      <c r="A44" s="30" t="s">
        <v>504</v>
      </c>
      <c r="B44" s="67">
        <v>4</v>
      </c>
      <c r="C44" s="67">
        <v>4</v>
      </c>
      <c r="D44" s="67">
        <v>0</v>
      </c>
      <c r="E44" s="67">
        <v>0</v>
      </c>
      <c r="F44" s="54">
        <v>1</v>
      </c>
      <c r="G44" s="60"/>
      <c r="H44" s="140" t="s">
        <v>499</v>
      </c>
      <c r="I44" s="141"/>
      <c r="J44" s="132" t="s">
        <v>557</v>
      </c>
      <c r="K44" s="133"/>
      <c r="L44" s="133"/>
      <c r="M44" s="133"/>
      <c r="N44" s="133"/>
      <c r="O44" s="134"/>
      <c r="P44" s="50">
        <v>0.99</v>
      </c>
      <c r="Q44" s="5"/>
    </row>
    <row r="45" spans="1:25" ht="18" customHeight="1" x14ac:dyDescent="0.25">
      <c r="A45" s="31"/>
      <c r="B45" s="5"/>
      <c r="H45" s="140" t="s">
        <v>533</v>
      </c>
      <c r="I45" s="141"/>
      <c r="J45" s="142" t="s">
        <v>554</v>
      </c>
      <c r="K45" s="143"/>
      <c r="L45" s="143"/>
      <c r="M45" s="143"/>
      <c r="N45" s="143"/>
      <c r="O45" s="144"/>
      <c r="P45" s="68">
        <v>0.94</v>
      </c>
      <c r="Q45" s="5"/>
    </row>
    <row r="46" spans="1:25" ht="18" customHeight="1" x14ac:dyDescent="0.25">
      <c r="A46" s="31"/>
      <c r="B46" s="5"/>
      <c r="H46" s="140" t="s">
        <v>501</v>
      </c>
      <c r="I46" s="141"/>
      <c r="J46" s="142" t="s">
        <v>556</v>
      </c>
      <c r="K46" s="143"/>
      <c r="L46" s="143"/>
      <c r="M46" s="143"/>
      <c r="N46" s="143"/>
      <c r="O46" s="144"/>
      <c r="P46" s="68">
        <v>1</v>
      </c>
      <c r="Q46" s="5"/>
    </row>
    <row r="47" spans="1:25" ht="18" customHeight="1" x14ac:dyDescent="0.25">
      <c r="A47" s="31"/>
      <c r="B47" s="5"/>
      <c r="H47" s="140" t="s">
        <v>534</v>
      </c>
      <c r="I47" s="141"/>
      <c r="J47" s="142" t="s">
        <v>560</v>
      </c>
      <c r="K47" s="143"/>
      <c r="L47" s="143"/>
      <c r="M47" s="143"/>
      <c r="N47" s="143"/>
      <c r="O47" s="144"/>
      <c r="P47" s="68">
        <v>1</v>
      </c>
      <c r="Q47" s="5"/>
    </row>
    <row r="48" spans="1:25" ht="18" customHeight="1" thickBot="1" x14ac:dyDescent="0.3">
      <c r="A48" s="31"/>
      <c r="B48" s="5"/>
      <c r="H48" s="153" t="s">
        <v>504</v>
      </c>
      <c r="I48" s="154"/>
      <c r="J48" s="155" t="s">
        <v>561</v>
      </c>
      <c r="K48" s="156"/>
      <c r="L48" s="156"/>
      <c r="M48" s="156"/>
      <c r="N48" s="156"/>
      <c r="O48" s="157"/>
      <c r="P48" s="69">
        <v>0.98</v>
      </c>
      <c r="Q48" s="5"/>
    </row>
    <row r="49" spans="1:23" ht="21" customHeight="1" thickBot="1" x14ac:dyDescent="0.4">
      <c r="B49" s="145" t="s">
        <v>552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7"/>
      <c r="S49"/>
      <c r="U49" s="5"/>
      <c r="W49"/>
    </row>
    <row r="50" spans="1:23" ht="36" customHeight="1" thickBot="1" x14ac:dyDescent="0.3">
      <c r="B50" s="70" t="s">
        <v>535</v>
      </c>
      <c r="C50" s="148" t="s">
        <v>536</v>
      </c>
      <c r="D50" s="149"/>
      <c r="E50" s="71" t="s">
        <v>537</v>
      </c>
      <c r="F50" s="71" t="s">
        <v>538</v>
      </c>
      <c r="G50" s="71" t="s">
        <v>539</v>
      </c>
      <c r="H50" s="71" t="s">
        <v>540</v>
      </c>
      <c r="I50" s="71" t="s">
        <v>541</v>
      </c>
      <c r="J50" s="148" t="s">
        <v>542</v>
      </c>
      <c r="K50" s="149"/>
      <c r="L50" s="72" t="s">
        <v>543</v>
      </c>
      <c r="M50" s="72" t="s">
        <v>544</v>
      </c>
      <c r="N50" s="72" t="s">
        <v>545</v>
      </c>
      <c r="O50" s="73" t="s">
        <v>546</v>
      </c>
      <c r="P50" s="72" t="s">
        <v>547</v>
      </c>
      <c r="Q50" s="74" t="s">
        <v>548</v>
      </c>
      <c r="S50"/>
      <c r="U50" s="5"/>
      <c r="W50"/>
    </row>
    <row r="51" spans="1:23" ht="38.25" customHeight="1" x14ac:dyDescent="0.25">
      <c r="B51" s="75" t="s">
        <v>549</v>
      </c>
      <c r="C51" s="150">
        <v>145</v>
      </c>
      <c r="D51" s="151"/>
      <c r="E51" s="75">
        <v>140</v>
      </c>
      <c r="F51" s="75">
        <v>1</v>
      </c>
      <c r="G51" s="75">
        <v>4</v>
      </c>
      <c r="H51" s="76">
        <f>E51/C51</f>
        <v>0.96551724137931039</v>
      </c>
      <c r="I51" s="77">
        <v>0.98</v>
      </c>
      <c r="J51" s="152">
        <v>0.82040000000000002</v>
      </c>
      <c r="K51" s="151"/>
      <c r="L51" s="75">
        <v>39</v>
      </c>
      <c r="M51" s="75">
        <v>50</v>
      </c>
      <c r="N51" s="75">
        <v>32</v>
      </c>
      <c r="O51" s="75">
        <v>21</v>
      </c>
      <c r="P51" s="75">
        <v>3</v>
      </c>
      <c r="Q51" s="25">
        <v>0</v>
      </c>
      <c r="S51"/>
      <c r="U51" s="5"/>
      <c r="W51"/>
    </row>
    <row r="52" spans="1:23" ht="18" customHeight="1" x14ac:dyDescent="0.25">
      <c r="A52" s="31"/>
      <c r="B52" s="5"/>
      <c r="D52" s="78"/>
      <c r="E52" s="79"/>
      <c r="F52" s="79"/>
      <c r="G52" s="80"/>
      <c r="H52" s="81"/>
      <c r="I52" s="81"/>
      <c r="J52" s="82"/>
      <c r="K52" s="81"/>
      <c r="L52" s="78"/>
      <c r="M52" s="78"/>
      <c r="N52" s="83"/>
      <c r="O52" s="81"/>
      <c r="P52" s="80"/>
      <c r="Q52" s="84"/>
      <c r="R52" s="5"/>
    </row>
    <row r="53" spans="1:23" ht="18" customHeight="1" x14ac:dyDescent="0.25">
      <c r="A53" s="31"/>
      <c r="B53" s="5"/>
      <c r="D53" s="84"/>
      <c r="E53" s="79"/>
      <c r="F53" s="79"/>
      <c r="G53" s="80"/>
      <c r="H53" s="81"/>
      <c r="I53" s="81"/>
      <c r="J53" s="82"/>
      <c r="K53" s="81"/>
      <c r="L53" s="78"/>
      <c r="M53" s="78"/>
      <c r="N53" s="83"/>
      <c r="O53" s="81"/>
      <c r="P53" s="80"/>
      <c r="Q53" s="84"/>
      <c r="R53" s="5"/>
    </row>
  </sheetData>
  <mergeCells count="77">
    <mergeCell ref="V19:W19"/>
    <mergeCell ref="B49:Q49"/>
    <mergeCell ref="C50:D50"/>
    <mergeCell ref="J50:K50"/>
    <mergeCell ref="C51:D51"/>
    <mergeCell ref="J51:K51"/>
    <mergeCell ref="U37:V37"/>
    <mergeCell ref="H46:I46"/>
    <mergeCell ref="J46:O46"/>
    <mergeCell ref="H47:I47"/>
    <mergeCell ref="J47:O47"/>
    <mergeCell ref="H48:I48"/>
    <mergeCell ref="J48:O48"/>
    <mergeCell ref="H43:I43"/>
    <mergeCell ref="J43:O43"/>
    <mergeCell ref="H44:I44"/>
    <mergeCell ref="J44:O44"/>
    <mergeCell ref="H45:I45"/>
    <mergeCell ref="J45:O45"/>
    <mergeCell ref="H40:I40"/>
    <mergeCell ref="J40:O40"/>
    <mergeCell ref="H41:I41"/>
    <mergeCell ref="J41:O41"/>
    <mergeCell ref="H42:I42"/>
    <mergeCell ref="J42:O42"/>
    <mergeCell ref="H37:I37"/>
    <mergeCell ref="J37:O37"/>
    <mergeCell ref="H38:I38"/>
    <mergeCell ref="J38:O38"/>
    <mergeCell ref="H39:I39"/>
    <mergeCell ref="J39:O39"/>
    <mergeCell ref="H35:I35"/>
    <mergeCell ref="J35:O35"/>
    <mergeCell ref="U35:V35"/>
    <mergeCell ref="H36:I36"/>
    <mergeCell ref="J36:O36"/>
    <mergeCell ref="U36:V36"/>
    <mergeCell ref="H33:I33"/>
    <mergeCell ref="J33:O33"/>
    <mergeCell ref="U33:V33"/>
    <mergeCell ref="H34:I34"/>
    <mergeCell ref="J34:O34"/>
    <mergeCell ref="U34:V34"/>
    <mergeCell ref="H31:I31"/>
    <mergeCell ref="J31:O31"/>
    <mergeCell ref="U31:V31"/>
    <mergeCell ref="H32:I32"/>
    <mergeCell ref="J32:O32"/>
    <mergeCell ref="U32:V32"/>
    <mergeCell ref="H30:I30"/>
    <mergeCell ref="J30:O30"/>
    <mergeCell ref="U30:V30"/>
    <mergeCell ref="V20:W20"/>
    <mergeCell ref="U23:W23"/>
    <mergeCell ref="H24:S24"/>
    <mergeCell ref="U24:V24"/>
    <mergeCell ref="U25:V25"/>
    <mergeCell ref="U26:V26"/>
    <mergeCell ref="U27:V27"/>
    <mergeCell ref="U28:V28"/>
    <mergeCell ref="H29:P29"/>
    <mergeCell ref="U29:V29"/>
    <mergeCell ref="A25:F25"/>
    <mergeCell ref="H25:J25"/>
    <mergeCell ref="K25:M25"/>
    <mergeCell ref="N25:P25"/>
    <mergeCell ref="Q25:S25"/>
    <mergeCell ref="A1:W1"/>
    <mergeCell ref="A2:W2"/>
    <mergeCell ref="A3:A4"/>
    <mergeCell ref="B3:D3"/>
    <mergeCell ref="E3:G3"/>
    <mergeCell ref="H3:J3"/>
    <mergeCell ref="K3:M3"/>
    <mergeCell ref="N3:P3"/>
    <mergeCell ref="Q3:S3"/>
    <mergeCell ref="U3:W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 (3)</vt:lpstr>
      <vt:lpstr>Sheet1 (2)</vt:lpstr>
      <vt:lpstr>Sheet1</vt:lpstr>
      <vt:lpstr>Sheet7</vt:lpstr>
      <vt:lpstr>Sheet4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JBNSS</cp:lastModifiedBy>
  <cp:lastPrinted>2023-05-12T06:32:24Z</cp:lastPrinted>
  <dcterms:created xsi:type="dcterms:W3CDTF">2023-05-12T05:42:58Z</dcterms:created>
  <dcterms:modified xsi:type="dcterms:W3CDTF">2023-05-17T08:22:22Z</dcterms:modified>
</cp:coreProperties>
</file>